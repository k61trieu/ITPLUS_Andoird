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-15" yWindow="3225" windowWidth="11970" windowHeight="3270" tabRatio="863" firstSheet="1" activeTab="8"/>
  </bookViews>
  <sheets>
    <sheet name="00000000" sheetId="21" state="veryHidden" r:id="rId1"/>
    <sheet name="Data" sheetId="49" r:id="rId2"/>
    <sheet name="cong thuc tinh tu non" sheetId="58" r:id="rId3"/>
    <sheet name="KL duong dau cau" sheetId="59" r:id="rId4"/>
    <sheet name="KL tu non. long mo" sheetId="63" r:id="rId5"/>
    <sheet name="TONG KL " sheetId="60" r:id="rId6"/>
    <sheet name="cong sieu cao" sheetId="61" r:id="rId7"/>
    <sheet name="1 tam op" sheetId="64" r:id="rId8"/>
    <sheet name="Toa Do Tu Non" sheetId="62" r:id="rId9"/>
  </sheets>
  <definedNames>
    <definedName name="_Fill" localSheetId="4" hidden="1">#REF!</definedName>
    <definedName name="_Fill" hidden="1">#REF!</definedName>
    <definedName name="B">Data!$C$8</definedName>
    <definedName name="b_1">Data!$C$7</definedName>
    <definedName name="bt_" localSheetId="4">#REF!</definedName>
    <definedName name="bt_">#REF!</definedName>
    <definedName name="C_" localSheetId="4">Data!#REF!</definedName>
    <definedName name="C_">Data!#REF!</definedName>
    <definedName name="cellhasformula">GET.CELL(48,INDIRECT("rc",FALSE))</definedName>
    <definedName name="D_">Data!$C$6</definedName>
    <definedName name="H">Data!$C$5</definedName>
    <definedName name="h_1">Data!$C$3</definedName>
    <definedName name="h_2">Data!$C$4</definedName>
    <definedName name="L_">Data!$C$10</definedName>
    <definedName name="UNIT" localSheetId="4">#REF!</definedName>
    <definedName name="UNIT">#REF!</definedName>
    <definedName name="wrn.chi._.tiÆt." hidden="1">{#N/A,#N/A,FALSE,"Chi tiÆt"}</definedName>
  </definedNames>
  <calcPr calcId="144525" fullPrecision="0"/>
</workbook>
</file>

<file path=xl/calcChain.xml><?xml version="1.0" encoding="utf-8"?>
<calcChain xmlns="http://schemas.openxmlformats.org/spreadsheetml/2006/main">
  <c r="B24" i="62" l="1"/>
  <c r="G8" i="60" l="1"/>
  <c r="H5" i="63" l="1"/>
  <c r="I5" i="63"/>
  <c r="B22" i="62" l="1"/>
  <c r="C22" i="62"/>
  <c r="B23" i="62"/>
  <c r="C23" i="62"/>
  <c r="C24" i="62"/>
  <c r="B25" i="62"/>
  <c r="C25" i="62"/>
  <c r="B26" i="62"/>
  <c r="C26" i="62"/>
  <c r="B27" i="62"/>
  <c r="C27" i="62"/>
  <c r="B28" i="62"/>
  <c r="C28" i="62"/>
  <c r="C21" i="62"/>
  <c r="B21" i="62"/>
  <c r="B9" i="62"/>
  <c r="C9" i="62"/>
  <c r="B10" i="62"/>
  <c r="C10" i="62"/>
  <c r="B11" i="62"/>
  <c r="C11" i="62"/>
  <c r="B12" i="62"/>
  <c r="C12" i="62"/>
  <c r="B13" i="62"/>
  <c r="C13" i="62"/>
  <c r="B14" i="62"/>
  <c r="C14" i="62"/>
  <c r="B15" i="62"/>
  <c r="C15" i="62"/>
  <c r="C8" i="62"/>
  <c r="B8" i="62"/>
  <c r="K4" i="60" l="1"/>
  <c r="K5" i="60"/>
  <c r="K6" i="60"/>
  <c r="K7" i="60"/>
  <c r="K11" i="60"/>
  <c r="K12" i="60"/>
  <c r="K13" i="60"/>
  <c r="K14" i="60"/>
  <c r="K15" i="60"/>
  <c r="K16" i="60"/>
  <c r="K17" i="60"/>
  <c r="K18" i="60"/>
  <c r="K19" i="60"/>
  <c r="K20" i="60"/>
  <c r="K21" i="60"/>
  <c r="K23" i="60"/>
  <c r="K24" i="60"/>
  <c r="K25" i="60"/>
  <c r="K26" i="60"/>
  <c r="K27" i="60"/>
  <c r="K28" i="60"/>
  <c r="K29" i="60"/>
  <c r="K30" i="60"/>
  <c r="K32" i="60"/>
  <c r="K33" i="60"/>
  <c r="K34" i="60"/>
  <c r="K35" i="60"/>
  <c r="K36" i="60"/>
  <c r="K37" i="60"/>
  <c r="K3" i="60"/>
  <c r="H35" i="60"/>
  <c r="G35" i="60"/>
  <c r="J17" i="60"/>
  <c r="I28" i="60"/>
  <c r="I32" i="60"/>
  <c r="H37" i="60"/>
  <c r="H36" i="60"/>
  <c r="H34" i="60"/>
  <c r="H33" i="60"/>
  <c r="H30" i="60"/>
  <c r="H29" i="60"/>
  <c r="H24" i="60"/>
  <c r="H25" i="60"/>
  <c r="H26" i="60"/>
  <c r="H27" i="60"/>
  <c r="H23" i="60"/>
  <c r="H21" i="60"/>
  <c r="H20" i="60"/>
  <c r="H12" i="60"/>
  <c r="H13" i="60"/>
  <c r="H14" i="60"/>
  <c r="H11" i="60"/>
  <c r="H9" i="60"/>
  <c r="H7" i="60"/>
  <c r="H6" i="60"/>
  <c r="H5" i="60"/>
  <c r="H4" i="60"/>
  <c r="H3" i="60"/>
  <c r="G37" i="60"/>
  <c r="I37" i="60" s="1"/>
  <c r="G36" i="60"/>
  <c r="I36" i="60" s="1"/>
  <c r="G34" i="60"/>
  <c r="I34" i="60" s="1"/>
  <c r="G33" i="60"/>
  <c r="I33" i="60" s="1"/>
  <c r="G30" i="60"/>
  <c r="I30" i="60" s="1"/>
  <c r="G29" i="60"/>
  <c r="I29" i="60" s="1"/>
  <c r="G24" i="60"/>
  <c r="I24" i="60" s="1"/>
  <c r="G25" i="60"/>
  <c r="I25" i="60" s="1"/>
  <c r="G26" i="60"/>
  <c r="I26" i="60" s="1"/>
  <c r="G27" i="60"/>
  <c r="I27" i="60" s="1"/>
  <c r="G23" i="60"/>
  <c r="I23" i="60" s="1"/>
  <c r="G12" i="60"/>
  <c r="I12" i="60" s="1"/>
  <c r="G11" i="60"/>
  <c r="I11" i="60" s="1"/>
  <c r="G20" i="60"/>
  <c r="I20" i="60" s="1"/>
  <c r="G21" i="60"/>
  <c r="I21" i="60" s="1"/>
  <c r="G13" i="60"/>
  <c r="I13" i="60" s="1"/>
  <c r="G14" i="60"/>
  <c r="I14" i="60" s="1"/>
  <c r="G7" i="60"/>
  <c r="I7" i="60" s="1"/>
  <c r="G6" i="60"/>
  <c r="I6" i="60" s="1"/>
  <c r="G5" i="60"/>
  <c r="I5" i="60" s="1"/>
  <c r="G4" i="60"/>
  <c r="I4" i="60" s="1"/>
  <c r="G3" i="60"/>
  <c r="I3" i="60" s="1"/>
  <c r="I35" i="60" l="1"/>
  <c r="J28" i="60"/>
  <c r="I4" i="63"/>
  <c r="H4" i="63"/>
  <c r="I33" i="63"/>
  <c r="I32" i="63"/>
  <c r="H33" i="63"/>
  <c r="H32" i="63"/>
  <c r="I30" i="63"/>
  <c r="H30" i="63"/>
  <c r="I29" i="63"/>
  <c r="H29" i="63"/>
  <c r="I26" i="63"/>
  <c r="H26" i="63"/>
  <c r="G9" i="60" s="1"/>
  <c r="I9" i="60" s="1"/>
  <c r="K9" i="60" s="1"/>
  <c r="I25" i="63"/>
  <c r="H25" i="63"/>
  <c r="H21" i="63"/>
  <c r="I21" i="63" s="1"/>
  <c r="I20" i="63"/>
  <c r="H20" i="63"/>
  <c r="I19" i="63"/>
  <c r="H19" i="63"/>
  <c r="I17" i="63"/>
  <c r="H17" i="63"/>
  <c r="I16" i="63"/>
  <c r="H16" i="63"/>
  <c r="I11" i="63"/>
  <c r="H11" i="63"/>
  <c r="D6" i="64"/>
  <c r="F4" i="64"/>
  <c r="H4" i="64" s="1"/>
  <c r="H3" i="64"/>
  <c r="F3" i="64"/>
  <c r="I10" i="63"/>
  <c r="H10" i="63"/>
  <c r="I8" i="63"/>
  <c r="H8" i="63"/>
  <c r="I7" i="63"/>
  <c r="H7" i="63"/>
  <c r="I3" i="63"/>
  <c r="H3" i="63"/>
  <c r="T21" i="58"/>
  <c r="R21" i="58"/>
  <c r="P21" i="58"/>
  <c r="T20" i="58"/>
  <c r="P20" i="58"/>
  <c r="N21" i="58"/>
  <c r="N20" i="58"/>
  <c r="T16" i="58"/>
  <c r="P16" i="58"/>
  <c r="N16" i="58"/>
  <c r="Y15" i="58"/>
  <c r="W15" i="58"/>
  <c r="V15" i="58"/>
  <c r="T15" i="58"/>
  <c r="R15" i="58"/>
  <c r="P15" i="58"/>
  <c r="N15" i="58"/>
  <c r="I14" i="63" l="1"/>
  <c r="H15" i="60"/>
  <c r="H15" i="63"/>
  <c r="G15" i="60"/>
  <c r="H8" i="60"/>
  <c r="I8" i="60" s="1"/>
  <c r="K8" i="60" s="1"/>
  <c r="H12" i="63"/>
  <c r="H13" i="63"/>
  <c r="I13" i="63"/>
  <c r="D5" i="64"/>
  <c r="I12" i="63"/>
  <c r="I15" i="63"/>
  <c r="H14" i="63"/>
  <c r="V22" i="59"/>
  <c r="W22" i="59"/>
  <c r="X22" i="59"/>
  <c r="Y22" i="59"/>
  <c r="Z22" i="59"/>
  <c r="AA22" i="59"/>
  <c r="AB22" i="59"/>
  <c r="AC22" i="59"/>
  <c r="AD22" i="59"/>
  <c r="AE22" i="59"/>
  <c r="AF22" i="59"/>
  <c r="AG22" i="59"/>
  <c r="AH22" i="59"/>
  <c r="AI22" i="59"/>
  <c r="AJ22" i="59"/>
  <c r="U22" i="59"/>
  <c r="V21" i="59"/>
  <c r="W21" i="59"/>
  <c r="X21" i="59"/>
  <c r="Y21" i="59"/>
  <c r="Z21" i="59"/>
  <c r="AE21" i="59"/>
  <c r="AF21" i="59"/>
  <c r="AG21" i="59"/>
  <c r="AH21" i="59"/>
  <c r="AJ21" i="59"/>
  <c r="U21" i="59"/>
  <c r="AB20" i="59"/>
  <c r="AC20" i="59"/>
  <c r="AD20" i="59"/>
  <c r="AE20" i="59"/>
  <c r="AA20" i="59"/>
  <c r="AB19" i="59"/>
  <c r="AC19" i="59"/>
  <c r="AD19" i="59"/>
  <c r="AA19" i="59"/>
  <c r="W20" i="59"/>
  <c r="AF20" i="59"/>
  <c r="AG20" i="59"/>
  <c r="AH20" i="59"/>
  <c r="AI20" i="59"/>
  <c r="V19" i="59"/>
  <c r="X19" i="59"/>
  <c r="Y19" i="59"/>
  <c r="Z19" i="59"/>
  <c r="AE19" i="59"/>
  <c r="AF19" i="59"/>
  <c r="AG19" i="59"/>
  <c r="AH19" i="59"/>
  <c r="AI19" i="59"/>
  <c r="AJ19" i="59"/>
  <c r="U19" i="59"/>
  <c r="V18" i="59"/>
  <c r="W18" i="59"/>
  <c r="X18" i="59"/>
  <c r="Y18" i="59"/>
  <c r="Z18" i="59"/>
  <c r="AE18" i="59"/>
  <c r="AF18" i="59"/>
  <c r="AG18" i="59"/>
  <c r="AH18" i="59"/>
  <c r="AJ18" i="59"/>
  <c r="U18" i="59"/>
  <c r="V17" i="59"/>
  <c r="W17" i="59"/>
  <c r="X17" i="59"/>
  <c r="Y17" i="59"/>
  <c r="Z17" i="59"/>
  <c r="AA17" i="59"/>
  <c r="AB17" i="59"/>
  <c r="AC17" i="59"/>
  <c r="AD17" i="59"/>
  <c r="AJ17" i="59"/>
  <c r="U17" i="59"/>
  <c r="V16" i="59"/>
  <c r="W16" i="59"/>
  <c r="X16" i="59"/>
  <c r="Y16" i="59"/>
  <c r="Z16" i="59"/>
  <c r="AA16" i="59"/>
  <c r="AB16" i="59"/>
  <c r="AC16" i="59"/>
  <c r="AD16" i="59"/>
  <c r="AE16" i="59"/>
  <c r="AF16" i="59"/>
  <c r="AG16" i="59"/>
  <c r="AH16" i="59"/>
  <c r="AI16" i="59"/>
  <c r="AJ16" i="59"/>
  <c r="U16" i="59"/>
  <c r="V15" i="59"/>
  <c r="W15" i="59"/>
  <c r="X15" i="59"/>
  <c r="Y15" i="59"/>
  <c r="Z15" i="59"/>
  <c r="AA15" i="59"/>
  <c r="AB15" i="59"/>
  <c r="AC15" i="59"/>
  <c r="AD15" i="59"/>
  <c r="AE15" i="59"/>
  <c r="AF15" i="59"/>
  <c r="AG15" i="59"/>
  <c r="AH15" i="59"/>
  <c r="AI15" i="59"/>
  <c r="AJ15" i="59"/>
  <c r="U15" i="59"/>
  <c r="V12" i="59"/>
  <c r="W12" i="59"/>
  <c r="X12" i="59"/>
  <c r="Y12" i="59"/>
  <c r="Z12" i="59"/>
  <c r="AA12" i="59"/>
  <c r="AB12" i="59"/>
  <c r="AC12" i="59"/>
  <c r="AD12" i="59"/>
  <c r="AE12" i="59"/>
  <c r="AF12" i="59"/>
  <c r="AG12" i="59"/>
  <c r="AH12" i="59"/>
  <c r="AI12" i="59"/>
  <c r="AJ12" i="59"/>
  <c r="U12" i="59"/>
  <c r="V11" i="59"/>
  <c r="W11" i="59"/>
  <c r="X11" i="59"/>
  <c r="Y11" i="59"/>
  <c r="Z11" i="59"/>
  <c r="AA11" i="59"/>
  <c r="AB11" i="59"/>
  <c r="AC11" i="59"/>
  <c r="AD11" i="59"/>
  <c r="AE11" i="59"/>
  <c r="AF11" i="59"/>
  <c r="AG11" i="59"/>
  <c r="AH11" i="59"/>
  <c r="AI11" i="59"/>
  <c r="AJ11" i="59"/>
  <c r="U11" i="59"/>
  <c r="V10" i="59"/>
  <c r="W10" i="59"/>
  <c r="X10" i="59"/>
  <c r="Y10" i="59"/>
  <c r="Z10" i="59"/>
  <c r="AA10" i="59"/>
  <c r="AB10" i="59"/>
  <c r="AC10" i="59"/>
  <c r="AD10" i="59"/>
  <c r="AE10" i="59"/>
  <c r="AF10" i="59"/>
  <c r="AG10" i="59"/>
  <c r="AH10" i="59"/>
  <c r="AI10" i="59"/>
  <c r="AJ10" i="59"/>
  <c r="U10" i="59"/>
  <c r="W9" i="59"/>
  <c r="X9" i="59"/>
  <c r="Y9" i="59"/>
  <c r="Z9" i="59"/>
  <c r="AA9" i="59"/>
  <c r="AB9" i="59"/>
  <c r="AC9" i="59"/>
  <c r="AD9" i="59"/>
  <c r="AJ9" i="59"/>
  <c r="V9" i="59"/>
  <c r="U9" i="59"/>
  <c r="V8" i="59"/>
  <c r="W8" i="59"/>
  <c r="X8" i="59"/>
  <c r="Y8" i="59"/>
  <c r="Z8" i="59"/>
  <c r="AE8" i="59"/>
  <c r="AF8" i="59"/>
  <c r="AG8" i="59"/>
  <c r="AH8" i="59"/>
  <c r="AJ8" i="59"/>
  <c r="U8" i="59"/>
  <c r="AJ7" i="59"/>
  <c r="AI7" i="59"/>
  <c r="AF7" i="59"/>
  <c r="AG7" i="59"/>
  <c r="AH7" i="59"/>
  <c r="AE7" i="59"/>
  <c r="AB7" i="59"/>
  <c r="AC7" i="59"/>
  <c r="AD7" i="59"/>
  <c r="AA7" i="59"/>
  <c r="V7" i="59"/>
  <c r="X7" i="59"/>
  <c r="Y7" i="59"/>
  <c r="Z7" i="59"/>
  <c r="W6" i="59"/>
  <c r="U7" i="59"/>
  <c r="AI6" i="59"/>
  <c r="AB6" i="59"/>
  <c r="AC6" i="59"/>
  <c r="AD6" i="59"/>
  <c r="AA6" i="59"/>
  <c r="AE6" i="59"/>
  <c r="AF6" i="59"/>
  <c r="AG6" i="59"/>
  <c r="AH6" i="59"/>
  <c r="AF5" i="59"/>
  <c r="AG5" i="59"/>
  <c r="AH5" i="59"/>
  <c r="AI5" i="59"/>
  <c r="AJ5" i="59"/>
  <c r="AE5" i="59"/>
  <c r="AB5" i="59"/>
  <c r="AC5" i="59"/>
  <c r="AD5" i="59"/>
  <c r="AA5" i="59"/>
  <c r="X5" i="59"/>
  <c r="Y5" i="59"/>
  <c r="Z5" i="59"/>
  <c r="W5" i="59"/>
  <c r="V5" i="59"/>
  <c r="U5" i="59"/>
  <c r="D16" i="59"/>
  <c r="D17" i="59"/>
  <c r="D18" i="59"/>
  <c r="D19" i="59"/>
  <c r="D20" i="59"/>
  <c r="D21" i="59"/>
  <c r="D15" i="59"/>
  <c r="D6" i="59"/>
  <c r="D7" i="59"/>
  <c r="D8" i="59"/>
  <c r="D9" i="59"/>
  <c r="D10" i="59"/>
  <c r="D11" i="59"/>
  <c r="D5" i="59"/>
  <c r="G17" i="60" l="1"/>
  <c r="I15" i="60"/>
  <c r="G16" i="60"/>
  <c r="G18" i="60"/>
  <c r="G19" i="60"/>
  <c r="H19" i="60"/>
  <c r="H16" i="60"/>
  <c r="H18" i="60"/>
  <c r="H17" i="60"/>
  <c r="I17" i="60" s="1"/>
  <c r="M21" i="61"/>
  <c r="L21" i="61"/>
  <c r="K21" i="61"/>
  <c r="L8" i="61"/>
  <c r="K8" i="61"/>
  <c r="I18" i="60" l="1"/>
  <c r="I16" i="60"/>
  <c r="I19" i="60"/>
  <c r="K27" i="61" l="1"/>
  <c r="L27" i="61"/>
  <c r="H26" i="61"/>
  <c r="J26" i="61" s="1"/>
  <c r="H25" i="61"/>
  <c r="J25" i="61" s="1"/>
  <c r="H24" i="61"/>
  <c r="J24" i="61" s="1"/>
  <c r="H23" i="61"/>
  <c r="J23" i="61" s="1"/>
  <c r="H22" i="61"/>
  <c r="J22" i="61" s="1"/>
  <c r="M27" i="61"/>
  <c r="H21" i="61"/>
  <c r="J21" i="61" s="1"/>
  <c r="M8" i="61"/>
  <c r="J27" i="61" l="1"/>
  <c r="AU54" i="59" l="1"/>
  <c r="AW51" i="59"/>
  <c r="AY51" i="59" s="1"/>
  <c r="AW50" i="59"/>
  <c r="AY50" i="59" s="1"/>
  <c r="AU52" i="59" l="1"/>
  <c r="M14" i="61" l="1"/>
  <c r="L14" i="61"/>
  <c r="H13" i="61"/>
  <c r="J13" i="61" s="1"/>
  <c r="H12" i="61"/>
  <c r="J12" i="61" s="1"/>
  <c r="H10" i="61"/>
  <c r="H9" i="61"/>
  <c r="J9" i="61" s="1"/>
  <c r="H8" i="61"/>
  <c r="H11" i="61"/>
  <c r="K14" i="61"/>
  <c r="J8" i="61" l="1"/>
  <c r="J10" i="61"/>
  <c r="J11" i="61"/>
  <c r="J14" i="61" l="1"/>
  <c r="W21" i="58" l="1"/>
  <c r="V20" i="58"/>
  <c r="W20" i="58"/>
  <c r="V16" i="58"/>
  <c r="W16" i="58"/>
  <c r="X21" i="58" l="1"/>
  <c r="W22" i="58"/>
  <c r="X16" i="58"/>
  <c r="W17" i="58"/>
  <c r="X20" i="58"/>
  <c r="Y20" i="58" s="1"/>
  <c r="X15" i="58"/>
  <c r="Y16" i="58"/>
  <c r="V21" i="58"/>
  <c r="Y21" i="58" s="1"/>
  <c r="Y22" i="58" l="1"/>
  <c r="Y17" i="58"/>
  <c r="AG24" i="59" l="1"/>
</calcChain>
</file>

<file path=xl/comments1.xml><?xml version="1.0" encoding="utf-8"?>
<comments xmlns="http://schemas.openxmlformats.org/spreadsheetml/2006/main">
  <authors>
    <author>Admin</author>
  </authors>
  <commentList>
    <comment ref="H9" authorId="0">
      <text>
        <r>
          <rPr>
            <b/>
            <sz val="9"/>
            <color indexed="81"/>
            <rFont val="Tahoma"/>
            <charset val="1"/>
          </rPr>
          <t>Admin:</t>
        </r>
        <r>
          <rPr>
            <sz val="9"/>
            <color indexed="81"/>
            <rFont val="Tahoma"/>
            <charset val="1"/>
          </rPr>
          <t xml:space="preserve">
tinh luon cả phần gia co
</t>
        </r>
      </text>
    </comment>
  </commentList>
</comments>
</file>

<file path=xl/sharedStrings.xml><?xml version="1.0" encoding="utf-8"?>
<sst xmlns="http://schemas.openxmlformats.org/spreadsheetml/2006/main" count="384" uniqueCount="213">
  <si>
    <t>Ký hiệu</t>
  </si>
  <si>
    <t>Thông số</t>
  </si>
  <si>
    <t>L</t>
  </si>
  <si>
    <t>m</t>
  </si>
  <si>
    <t>STT</t>
  </si>
  <si>
    <t>Hạng mục</t>
  </si>
  <si>
    <t>Đơn vị</t>
  </si>
  <si>
    <t>m3</t>
  </si>
  <si>
    <t>Đá dăm đệm</t>
  </si>
  <si>
    <t>m2</t>
  </si>
  <si>
    <t>r</t>
  </si>
  <si>
    <t>R</t>
  </si>
  <si>
    <t>H</t>
  </si>
  <si>
    <t>Đắp đất K95</t>
  </si>
  <si>
    <t>Trồng cỏ</t>
  </si>
  <si>
    <t>TT</t>
  </si>
  <si>
    <t>BẢNG TÍNH KHỐI LƯỢNG ĐƯỜNG ĐẦU CẦU</t>
  </si>
  <si>
    <t>Tên cọc</t>
  </si>
  <si>
    <t>Khoảng cách lẻ(m)</t>
  </si>
  <si>
    <t>Diện tích (m2)</t>
  </si>
  <si>
    <t>Chiều dài (m)</t>
  </si>
  <si>
    <t>Khối lượng (m3)</t>
  </si>
  <si>
    <t>Đào đất KTH</t>
  </si>
  <si>
    <t>Đào đất không thích hợp</t>
  </si>
  <si>
    <t>CỌC A</t>
  </si>
  <si>
    <t>CỌC B</t>
  </si>
  <si>
    <t>Đắp VLDH K98</t>
  </si>
  <si>
    <t>Lý Trình</t>
  </si>
  <si>
    <t>ống</t>
  </si>
  <si>
    <t>Đắp vật liệu dạng hạt trong lòng mố</t>
  </si>
  <si>
    <t>Vật liệu hạt thô thoát nước</t>
  </si>
  <si>
    <t>L1</t>
  </si>
  <si>
    <t>1/4 V</t>
  </si>
  <si>
    <t>1/4 Sxq</t>
  </si>
  <si>
    <t>Dx</t>
  </si>
  <si>
    <t>Trái</t>
  </si>
  <si>
    <t>Phải</t>
  </si>
  <si>
    <t>1/4V=1/12*pi()*h*(R^2+r^2+R*r (m3) , Thể tích tứ nón</t>
  </si>
  <si>
    <t>1/4Sxq = 1/4*pi()*L1*(R+r) (m2), Diện tích xung quanh tứ nón</t>
  </si>
  <si>
    <t>V đắp =1/4V-Dx</t>
  </si>
  <si>
    <t>V đắp đất tứ nón</t>
  </si>
  <si>
    <t>Tổng</t>
  </si>
  <si>
    <t>PHải</t>
  </si>
  <si>
    <t>Đất đắp k95 tư nón</t>
  </si>
  <si>
    <t>Đào chân khay</t>
  </si>
  <si>
    <t>Đắp trả chân khay</t>
  </si>
  <si>
    <t xml:space="preserve"> </t>
  </si>
  <si>
    <t>(mm)</t>
  </si>
  <si>
    <t>(m)</t>
  </si>
  <si>
    <t>(Thanh)</t>
  </si>
  <si>
    <t>(Kg/m)</t>
  </si>
  <si>
    <t>(Kg)</t>
  </si>
  <si>
    <t>(m3)</t>
  </si>
  <si>
    <t>W1</t>
  </si>
  <si>
    <t>CB400-V</t>
  </si>
  <si>
    <t>W2</t>
  </si>
  <si>
    <t>W5</t>
  </si>
  <si>
    <t>W6</t>
  </si>
  <si>
    <t>03</t>
  </si>
  <si>
    <t>L63x63x6</t>
  </si>
  <si>
    <t>04</t>
  </si>
  <si>
    <t>50x6x107</t>
  </si>
  <si>
    <t>Chiều dài</t>
  </si>
  <si>
    <t>Tổng chiều dài</t>
  </si>
  <si>
    <t>Tấm nắp gang</t>
  </si>
  <si>
    <t>Tấm</t>
  </si>
  <si>
    <t>Tên thanh</t>
  </si>
  <si>
    <t>Khối lượng đơn vị</t>
  </si>
  <si>
    <t>Tổng khối lượng</t>
  </si>
  <si>
    <t>Số hiệu</t>
  </si>
  <si>
    <t>Mác thép</t>
  </si>
  <si>
    <t>Đường kính (mm)</t>
  </si>
  <si>
    <t>Chiều dài
(mm)</t>
  </si>
  <si>
    <t>Số lượng</t>
  </si>
  <si>
    <t>Tổng chiều dài
(m)</t>
  </si>
  <si>
    <t>Trọng lượng đv
(Kg/m)</t>
  </si>
  <si>
    <t>Tổng KL
(Kg)</t>
  </si>
  <si>
    <t>Tấm ốp</t>
  </si>
  <si>
    <t>CB240-T</t>
  </si>
  <si>
    <t>Tổng cộng</t>
  </si>
  <si>
    <t>Thép D6 (Kg):</t>
  </si>
  <si>
    <t>Bê tông 20 MPa (m3):</t>
  </si>
  <si>
    <t>Ván khuôn (m2):</t>
  </si>
  <si>
    <t>Trồng cỏ (m2):</t>
  </si>
  <si>
    <t>A1</t>
  </si>
  <si>
    <t>A2</t>
  </si>
  <si>
    <t>Dx=1/4*Sxq*0.1, Khối lượng  tấm ốp BT</t>
  </si>
  <si>
    <t>Đá dăm đệm chân khay</t>
  </si>
  <si>
    <t>Vải địa kĩ thuật không dệt 300x300</t>
  </si>
  <si>
    <t>Vải địa kĩ thuật bọc lỗ PVC 50</t>
  </si>
  <si>
    <t>Cút nối góc</t>
  </si>
  <si>
    <t xml:space="preserve">cái </t>
  </si>
  <si>
    <t xml:space="preserve">m </t>
  </si>
  <si>
    <t>Đá dăm đệm bậc thang</t>
  </si>
  <si>
    <t>Bê tông C16 bậc thang</t>
  </si>
  <si>
    <t>Tầng lọc</t>
  </si>
  <si>
    <t>Bậc thang</t>
  </si>
  <si>
    <t>Gia cố mái tứ nón</t>
  </si>
  <si>
    <t>tấm</t>
  </si>
  <si>
    <t>Tấm ốp BT 400x400x100</t>
  </si>
  <si>
    <t>Bê tông tấm ốp C20</t>
  </si>
  <si>
    <t>Thép D6</t>
  </si>
  <si>
    <t>kg</t>
  </si>
  <si>
    <t>Bê tông đổ tại chỗ C16</t>
  </si>
  <si>
    <t>Tường chắn</t>
  </si>
  <si>
    <t xml:space="preserve">Chiều dài </t>
  </si>
  <si>
    <t>Bê tông C16</t>
  </si>
  <si>
    <t>Bê tông đệm C10</t>
  </si>
  <si>
    <t>KL mố A1</t>
  </si>
  <si>
    <t>Mo A1</t>
  </si>
  <si>
    <t>CỌC C</t>
  </si>
  <si>
    <t>Đắp CPDD loại 1</t>
  </si>
  <si>
    <t>Đắp K98</t>
  </si>
  <si>
    <t>Đào thi công tường chắn</t>
  </si>
  <si>
    <t>Đắp trả  tường chắn</t>
  </si>
  <si>
    <t>BT C16 tường chắn</t>
  </si>
  <si>
    <t>BT đệm C10 tường chắn</t>
  </si>
  <si>
    <t>Đá hộc xây vữa C16</t>
  </si>
  <si>
    <t>L ốp mái taluy</t>
  </si>
  <si>
    <t>CỌC D</t>
  </si>
  <si>
    <t>CỌC E</t>
  </si>
  <si>
    <t>CỌC F</t>
  </si>
  <si>
    <t>Khối lượng TKTC MỐ A1</t>
  </si>
  <si>
    <t>Khối lượng TKTC MỐ A2</t>
  </si>
  <si>
    <t>Gia cố taluy</t>
  </si>
  <si>
    <t>X (m)</t>
  </si>
  <si>
    <t>Y (m)</t>
  </si>
  <si>
    <t>mo A1</t>
  </si>
  <si>
    <t>mo A2</t>
  </si>
  <si>
    <t>KL mố A2</t>
  </si>
  <si>
    <t>Dọn dẹp mặt bằng</t>
  </si>
  <si>
    <t>TỔNG MỐ A1</t>
  </si>
  <si>
    <t>TỔNG MỐ A2</t>
  </si>
  <si>
    <t>Trong đó</t>
  </si>
  <si>
    <t>Đường kÝnh</t>
  </si>
  <si>
    <t>ThÐp h×nh</t>
  </si>
  <si>
    <t>ThÐp tấm</t>
  </si>
  <si>
    <t>Bª t«ng C20</t>
  </si>
  <si>
    <t>Bª t«ng C10</t>
  </si>
  <si>
    <t>Loại thÐp</t>
  </si>
  <si>
    <t>Tªn thanh</t>
  </si>
  <si>
    <t>Đắp VLDH K98 (giảm trừ PĐ)</t>
  </si>
  <si>
    <t>L dọn dẹp mặt bằng</t>
  </si>
  <si>
    <t>CỌC 30</t>
  </si>
  <si>
    <t>CỌC G</t>
  </si>
  <si>
    <t>CỌC H</t>
  </si>
  <si>
    <t>CỌC I</t>
  </si>
  <si>
    <t>CỌC K</t>
  </si>
  <si>
    <t>CỌC L</t>
  </si>
  <si>
    <t>CỌC M</t>
  </si>
  <si>
    <t>CỌC N</t>
  </si>
  <si>
    <t>CỌC U</t>
  </si>
  <si>
    <t>CỌC V</t>
  </si>
  <si>
    <t xml:space="preserve"> Ốp mái taluy</t>
  </si>
  <si>
    <t>=(0.63+1)/2</t>
  </si>
  <si>
    <t>=(11.88+7.277)/2</t>
  </si>
  <si>
    <t>=(5.623+7.279)/2</t>
  </si>
  <si>
    <t>=sqrt9.58^2+6.451^2)</t>
  </si>
  <si>
    <t>=(8.49+7.937)/2</t>
  </si>
  <si>
    <t>=(3.927+3.927)/2</t>
  </si>
  <si>
    <t>=sqrt(8.21^2+3.927^2)</t>
  </si>
  <si>
    <t>=(9.185+8.15)/2</t>
  </si>
  <si>
    <t>=(4.27+4.27)/2</t>
  </si>
  <si>
    <t>=sqrt(8.67^2+4.27^2)</t>
  </si>
  <si>
    <t>=(15.86+8)/2</t>
  </si>
  <si>
    <t>=(6.75+6.983)/2</t>
  </si>
  <si>
    <t>=sqrt(11.93^2+6.867^2)</t>
  </si>
  <si>
    <t>BẢNG KHỐI LƯỢNG TỨ NÓN, LÒNG MỐ</t>
  </si>
  <si>
    <t>Chân khay Đá hộc xây vữa xm C16</t>
  </si>
  <si>
    <t>Đường kính</t>
  </si>
  <si>
    <t xml:space="preserve">Chiều dài thanh </t>
  </si>
  <si>
    <t>Trọng lượng đơn vị</t>
  </si>
  <si>
    <t>mm</t>
  </si>
  <si>
    <t>Kg/m</t>
  </si>
  <si>
    <t>Kg</t>
  </si>
  <si>
    <t>Thép vòng</t>
  </si>
  <si>
    <t>Thép neo</t>
  </si>
  <si>
    <t>Thép D6 (Kg)</t>
  </si>
  <si>
    <t>Bê tông 20Mpa</t>
  </si>
  <si>
    <t>Đào đất chân khay</t>
  </si>
  <si>
    <t>Đắp trả</t>
  </si>
  <si>
    <t>Ống PVC D150</t>
  </si>
  <si>
    <t>Đào đất thi công tường chắn</t>
  </si>
  <si>
    <t>K98 giảm trừ phần đường</t>
  </si>
  <si>
    <t>Lớp đầm nén cải tiến K98,t=30cm</t>
  </si>
  <si>
    <t>Bù vênh cấp phối đá dăm loại 1</t>
  </si>
  <si>
    <t>Đắp cấp phối đá dăm loại 1,t=60cm</t>
  </si>
  <si>
    <t>Tổng KL BVTC</t>
  </si>
  <si>
    <t>Tổng KL TKKT</t>
  </si>
  <si>
    <t>Ống PVC, D50, L=1.0m</t>
  </si>
  <si>
    <t>Ống PVC D50</t>
  </si>
  <si>
    <t>CHÊNH LỆCH BVTC-TKKT</t>
  </si>
  <si>
    <t>BẢNG TỔNG HỢP KHỐI LƯỢNG TỨ NÓN,ĐƯỜNG ĐẦU CẦU</t>
  </si>
  <si>
    <t>T£N §IÓM</t>
  </si>
  <si>
    <t>TäA §é Tø NãN Mè A1</t>
  </si>
  <si>
    <t>TN1</t>
  </si>
  <si>
    <t>TN2</t>
  </si>
  <si>
    <t>TN3</t>
  </si>
  <si>
    <t>TN4</t>
  </si>
  <si>
    <t>TN5</t>
  </si>
  <si>
    <t>TN6</t>
  </si>
  <si>
    <t>TN7</t>
  </si>
  <si>
    <t>TN8</t>
  </si>
  <si>
    <t>TN9</t>
  </si>
  <si>
    <t>TN10</t>
  </si>
  <si>
    <t>TN11</t>
  </si>
  <si>
    <t>TN12</t>
  </si>
  <si>
    <t>TN13</t>
  </si>
  <si>
    <t>TN14</t>
  </si>
  <si>
    <t>TN15</t>
  </si>
  <si>
    <t>TN16</t>
  </si>
  <si>
    <t>TäA §é Tø NãN Mè A2</t>
  </si>
  <si>
    <t>X=398353.810  Y=2360684.505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</si>
</sst>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3">
    <numFmt numFmtId="6" formatCode="&quot;$&quot;#,##0_);[Red]\(&quot;$&quot;#,##0\)"/>
    <numFmt numFmtId="164" formatCode="_-* #,##0.00_-;\-* #,##0.00_-;_-* &quot;-&quot;??_-;_-@_-"/>
    <numFmt numFmtId="165" formatCode="&quot;\&quot;#,##0;[Red]&quot;\&quot;\-#,##0"/>
    <numFmt numFmtId="166" formatCode="&quot;\&quot;#,##0.00;[Red]&quot;\&quot;\-#,##0.00"/>
    <numFmt numFmtId="167" formatCode="\$#,##0\ ;\(\$#,##0\)"/>
    <numFmt numFmtId="168" formatCode="&quot;\&quot;#,##0;[Red]&quot;\&quot;&quot;\&quot;\-#,##0"/>
    <numFmt numFmtId="169" formatCode="&quot;\&quot;#,##0.00;[Red]&quot;\&quot;&quot;\&quot;&quot;\&quot;&quot;\&quot;&quot;\&quot;&quot;\&quot;\-#,##0.00"/>
    <numFmt numFmtId="170" formatCode="_-* #,##0_-;\-* #,##0_-;_-* &quot;-&quot;_-;_-@_-"/>
    <numFmt numFmtId="171" formatCode="m/d"/>
    <numFmt numFmtId="172" formatCode="_-&quot;$&quot;* #,##0.00_-;\-&quot;$&quot;* #,##0.00_-;_-&quot;$&quot;* &quot;-&quot;??_-;_-@_-"/>
    <numFmt numFmtId="173" formatCode="_-&quot;$&quot;* #,##0_-;\-&quot;$&quot;* #,##0_-;_-&quot;$&quot;* &quot;-&quot;_-;_-@_-"/>
    <numFmt numFmtId="174" formatCode="&quot;ß&quot;#,##0;\-&quot;&quot;\ß&quot;&quot;#,##0"/>
    <numFmt numFmtId="175" formatCode="\t0.00%"/>
    <numFmt numFmtId="176" formatCode="\t#\ ??/??"/>
    <numFmt numFmtId="177" formatCode="#,##0;\(#,##0\)"/>
    <numFmt numFmtId="178" formatCode="#,##0\ &quot;F&quot;;[Red]\-#,##0\ &quot;F&quot;"/>
    <numFmt numFmtId="179" formatCode="#,##0.00\ &quot;F&quot;;\-#,##0.00\ &quot;F&quot;"/>
    <numFmt numFmtId="180" formatCode="#,##0.00\ &quot;F&quot;;[Red]\-#,##0.00\ &quot;F&quot;"/>
    <numFmt numFmtId="181" formatCode="_-* #,##0\ &quot;F&quot;_-;\-* #,##0\ &quot;F&quot;_-;_-* &quot;-&quot;\ &quot;F&quot;_-;_-@_-"/>
    <numFmt numFmtId="182" formatCode="0.000_);\(0.000\)"/>
    <numFmt numFmtId="183" formatCode="0.0"/>
    <numFmt numFmtId="184" formatCode="0.000"/>
    <numFmt numFmtId="185" formatCode="&quot;Km101+&quot;0.000"/>
  </numFmts>
  <fonts count="49">
    <font>
      <sz val="12"/>
      <name val=".VnArial"/>
    </font>
    <font>
      <sz val="10"/>
      <name val="Arial"/>
      <family val="2"/>
    </font>
    <font>
      <sz val="14"/>
      <name val="??"/>
      <family val="3"/>
      <charset val="129"/>
    </font>
    <font>
      <sz val="12"/>
      <name val="????"/>
      <charset val="136"/>
    </font>
    <font>
      <sz val="12"/>
      <name val="???"/>
      <family val="3"/>
    </font>
    <font>
      <sz val="10"/>
      <name val="???"/>
      <family val="3"/>
      <charset val="129"/>
    </font>
    <font>
      <sz val="12"/>
      <name val="¹UAAA¼"/>
      <family val="3"/>
      <charset val="129"/>
    </font>
    <font>
      <sz val="12"/>
      <name val="Helv"/>
      <family val="2"/>
    </font>
    <font>
      <sz val="10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b/>
      <sz val="18"/>
      <name val="Arial"/>
      <family val="2"/>
    </font>
    <font>
      <sz val="8"/>
      <color indexed="12"/>
      <name val="Helv"/>
      <family val="2"/>
    </font>
    <font>
      <sz val="12"/>
      <name val="Arial"/>
      <family val="2"/>
    </font>
    <font>
      <sz val="7"/>
      <name val="Small Fonts"/>
      <family val="3"/>
      <charset val="128"/>
    </font>
    <font>
      <b/>
      <i/>
      <sz val="16"/>
      <name val="Helv"/>
      <family val="2"/>
    </font>
    <font>
      <sz val="13"/>
      <name val=".VnTime"/>
      <family val="2"/>
    </font>
    <font>
      <sz val="14"/>
      <name val="뼻뮝"/>
      <family val="3"/>
      <charset val="128"/>
    </font>
    <font>
      <sz val="12"/>
      <name val="바탕체"/>
      <family val="3"/>
    </font>
    <font>
      <sz val="12"/>
      <name val="뼻뮝"/>
      <family val="1"/>
    </font>
    <font>
      <sz val="9"/>
      <name val="Arial"/>
      <family val="2"/>
    </font>
    <font>
      <sz val="12"/>
      <name val="바탕체"/>
      <family val="1"/>
    </font>
    <font>
      <sz val="10"/>
      <name val="굴림체"/>
      <family val="3"/>
      <charset val="128"/>
    </font>
    <font>
      <sz val="11"/>
      <name val="ＭＳ Ｐゴシック"/>
      <family val="3"/>
      <charset val="128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.VnTime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2"/>
      <name val=".VnArial"/>
      <family val="2"/>
    </font>
    <font>
      <sz val="11.2"/>
      <name val=".VnArialH"/>
      <family val="2"/>
    </font>
    <font>
      <sz val="10"/>
      <name val=".VnArial Narrow"/>
      <family val="2"/>
    </font>
    <font>
      <b/>
      <sz val="12"/>
      <color theme="1"/>
      <name val="Arial"/>
      <family val="2"/>
    </font>
    <font>
      <sz val="11"/>
      <color theme="1"/>
      <name val=".VnArial Narrow"/>
      <family val="2"/>
    </font>
    <font>
      <sz val="11"/>
      <name val=".VnArial Narrow"/>
      <family val="2"/>
    </font>
    <font>
      <b/>
      <sz val="10"/>
      <name val=".VnArial"/>
      <family val="2"/>
    </font>
    <font>
      <sz val="10"/>
      <name val=".VnArial"/>
      <family val="2"/>
    </font>
    <font>
      <sz val="10"/>
      <color theme="1"/>
      <name val=".Vn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sz val="11"/>
      <name val="Arial"/>
      <family val="2"/>
    </font>
    <font>
      <b/>
      <sz val="11"/>
      <color theme="1"/>
      <name val="Arial"/>
      <family val="2"/>
    </font>
    <font>
      <sz val="13"/>
      <name val="Arial"/>
      <family val="2"/>
    </font>
    <font>
      <b/>
      <sz val="1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name val="Arial"/>
    </font>
    <font>
      <sz val="12"/>
      <name val=".VnArialH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1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8">
    <xf numFmtId="0" fontId="0" fillId="0" borderId="0"/>
    <xf numFmtId="169" fontId="1" fillId="0" borderId="0" applyFont="0" applyFill="0" applyBorder="0" applyAlignment="0" applyProtection="0"/>
    <xf numFmtId="0" fontId="2" fillId="0" borderId="0" applyFont="0" applyFill="0" applyBorder="0" applyAlignment="0" applyProtection="0"/>
    <xf numFmtId="168" fontId="1" fillId="0" borderId="0" applyFont="0" applyFill="0" applyBorder="0" applyAlignment="0" applyProtection="0"/>
    <xf numFmtId="40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170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0" borderId="0"/>
    <xf numFmtId="0" fontId="1" fillId="0" borderId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6" fillId="0" borderId="0"/>
    <xf numFmtId="0" fontId="6" fillId="0" borderId="0"/>
    <xf numFmtId="37" fontId="7" fillId="0" borderId="0"/>
    <xf numFmtId="177" fontId="8" fillId="0" borderId="0"/>
    <xf numFmtId="3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75" fontId="1" fillId="0" borderId="0"/>
    <xf numFmtId="0" fontId="1" fillId="0" borderId="0" applyFont="0" applyFill="0" applyBorder="0" applyAlignment="0" applyProtection="0"/>
    <xf numFmtId="176" fontId="1" fillId="0" borderId="0"/>
    <xf numFmtId="2" fontId="1" fillId="0" borderId="0" applyFont="0" applyFill="0" applyBorder="0" applyAlignment="0" applyProtection="0"/>
    <xf numFmtId="38" fontId="9" fillId="2" borderId="0" applyNumberFormat="0" applyBorder="0" applyAlignment="0" applyProtection="0"/>
    <xf numFmtId="0" fontId="10" fillId="0" borderId="1" applyNumberFormat="0" applyAlignment="0" applyProtection="0">
      <alignment horizontal="left" vertical="center"/>
    </xf>
    <xf numFmtId="0" fontId="10" fillId="0" borderId="2">
      <alignment horizontal="left" vertical="center"/>
    </xf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Protection="0"/>
    <xf numFmtId="0" fontId="10" fillId="0" borderId="0" applyProtection="0"/>
    <xf numFmtId="0" fontId="12" fillId="0" borderId="0"/>
    <xf numFmtId="10" fontId="9" fillId="3" borderId="3" applyNumberFormat="0" applyBorder="0" applyAlignment="0" applyProtection="0"/>
    <xf numFmtId="171" fontId="1" fillId="0" borderId="0" applyFont="0" applyFill="0" applyBorder="0" applyAlignment="0" applyProtection="0"/>
    <xf numFmtId="174" fontId="1" fillId="0" borderId="0" applyFont="0" applyFill="0" applyBorder="0" applyAlignment="0" applyProtection="0"/>
    <xf numFmtId="0" fontId="13" fillId="0" borderId="0" applyNumberFormat="0" applyFont="0" applyFill="0" applyAlignment="0"/>
    <xf numFmtId="0" fontId="8" fillId="0" borderId="0"/>
    <xf numFmtId="37" fontId="14" fillId="0" borderId="0"/>
    <xf numFmtId="0" fontId="15" fillId="0" borderId="0"/>
    <xf numFmtId="10" fontId="1" fillId="0" borderId="0" applyFont="0" applyFill="0" applyBorder="0" applyAlignment="0" applyProtection="0"/>
    <xf numFmtId="180" fontId="16" fillId="0" borderId="4">
      <alignment horizontal="right" vertical="center"/>
    </xf>
    <xf numFmtId="181" fontId="16" fillId="0" borderId="4">
      <alignment horizontal="center"/>
    </xf>
    <xf numFmtId="0" fontId="1" fillId="0" borderId="5" applyNumberFormat="0" applyFont="0" applyFill="0" applyAlignment="0" applyProtection="0"/>
    <xf numFmtId="178" fontId="16" fillId="0" borderId="0"/>
    <xf numFmtId="179" fontId="16" fillId="0" borderId="3"/>
    <xf numFmtId="40" fontId="17" fillId="0" borderId="0" applyFont="0" applyFill="0" applyBorder="0" applyAlignment="0" applyProtection="0"/>
    <xf numFmtId="38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9" fillId="0" borderId="0"/>
    <xf numFmtId="0" fontId="13" fillId="0" borderId="0"/>
    <xf numFmtId="170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8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0" fontId="22" fillId="0" borderId="0"/>
    <xf numFmtId="0" fontId="23" fillId="0" borderId="0">
      <alignment vertical="center"/>
    </xf>
    <xf numFmtId="173" fontId="20" fillId="0" borderId="0" applyFont="0" applyFill="0" applyBorder="0" applyAlignment="0" applyProtection="0"/>
    <xf numFmtId="6" fontId="24" fillId="0" borderId="0" applyFont="0" applyFill="0" applyBorder="0" applyAlignment="0" applyProtection="0"/>
    <xf numFmtId="172" fontId="20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5" fillId="0" borderId="0" applyFont="0" applyFill="0" applyBorder="0" applyAlignment="0" applyProtection="0"/>
    <xf numFmtId="0" fontId="26" fillId="0" borderId="0">
      <alignment vertical="center"/>
    </xf>
    <xf numFmtId="0" fontId="1" fillId="0" borderId="0"/>
    <xf numFmtId="0" fontId="47" fillId="0" borderId="0"/>
  </cellStyleXfs>
  <cellXfs count="163">
    <xf numFmtId="0" fontId="0" fillId="0" borderId="0" xfId="0"/>
    <xf numFmtId="0" fontId="1" fillId="0" borderId="0" xfId="9" applyFont="1" applyFill="1"/>
    <xf numFmtId="0" fontId="0" fillId="0" borderId="0" xfId="0" applyProtection="1">
      <protection locked="0" hidden="1"/>
    </xf>
    <xf numFmtId="0" fontId="26" fillId="0" borderId="0" xfId="0" applyFont="1"/>
    <xf numFmtId="0" fontId="26" fillId="0" borderId="3" xfId="0" applyFont="1" applyBorder="1" applyAlignment="1">
      <alignment horizontal="center" vertical="center"/>
    </xf>
    <xf numFmtId="0" fontId="32" fillId="4" borderId="3" xfId="0" applyFont="1" applyFill="1" applyBorder="1" applyAlignment="1">
      <alignment horizontal="center" vertical="center"/>
    </xf>
    <xf numFmtId="2" fontId="32" fillId="4" borderId="3" xfId="0" applyNumberFormat="1" applyFont="1" applyFill="1" applyBorder="1" applyAlignment="1">
      <alignment horizontal="center" vertical="center"/>
    </xf>
    <xf numFmtId="182" fontId="32" fillId="4" borderId="3" xfId="0" applyNumberFormat="1" applyFont="1" applyFill="1" applyBorder="1" applyAlignment="1">
      <alignment horizontal="center" vertical="center"/>
    </xf>
    <xf numFmtId="0" fontId="28" fillId="5" borderId="3" xfId="0" applyFont="1" applyFill="1" applyBorder="1" applyAlignment="1">
      <alignment horizontal="center"/>
    </xf>
    <xf numFmtId="0" fontId="28" fillId="5" borderId="4" xfId="0" applyFont="1" applyFill="1" applyBorder="1" applyAlignment="1">
      <alignment horizontal="center"/>
    </xf>
    <xf numFmtId="0" fontId="29" fillId="5" borderId="3" xfId="0" applyFont="1" applyFill="1" applyBorder="1" applyAlignment="1"/>
    <xf numFmtId="2" fontId="1" fillId="0" borderId="3" xfId="0" applyNumberFormat="1" applyFont="1" applyBorder="1" applyAlignment="1">
      <alignment horizontal="center" vertical="center"/>
    </xf>
    <xf numFmtId="0" fontId="34" fillId="0" borderId="0" xfId="0" applyFont="1"/>
    <xf numFmtId="2" fontId="34" fillId="0" borderId="0" xfId="0" applyNumberFormat="1" applyFont="1"/>
    <xf numFmtId="0" fontId="34" fillId="6" borderId="0" xfId="0" applyFont="1" applyFill="1"/>
    <xf numFmtId="183" fontId="34" fillId="0" borderId="0" xfId="0" applyNumberFormat="1" applyFont="1"/>
    <xf numFmtId="2" fontId="35" fillId="0" borderId="0" xfId="0" applyNumberFormat="1" applyFont="1"/>
    <xf numFmtId="0" fontId="35" fillId="0" borderId="0" xfId="0" applyFont="1"/>
    <xf numFmtId="0" fontId="28" fillId="5" borderId="4" xfId="0" applyFont="1" applyFill="1" applyBorder="1" applyAlignment="1">
      <alignment horizontal="center"/>
    </xf>
    <xf numFmtId="0" fontId="36" fillId="0" borderId="3" xfId="0" applyFont="1" applyBorder="1" applyAlignment="1">
      <alignment horizontal="center" vertical="center" wrapText="1"/>
    </xf>
    <xf numFmtId="0" fontId="36" fillId="0" borderId="3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2" fontId="37" fillId="0" borderId="3" xfId="0" applyNumberFormat="1" applyFont="1" applyBorder="1" applyAlignment="1">
      <alignment horizontal="center" vertical="center"/>
    </xf>
    <xf numFmtId="184" fontId="38" fillId="0" borderId="3" xfId="0" applyNumberFormat="1" applyFont="1" applyBorder="1" applyAlignment="1">
      <alignment horizontal="center" vertical="center"/>
    </xf>
    <xf numFmtId="0" fontId="37" fillId="0" borderId="3" xfId="0" quotePrefix="1" applyFont="1" applyBorder="1" applyAlignment="1">
      <alignment horizontal="center" vertical="center"/>
    </xf>
    <xf numFmtId="184" fontId="37" fillId="0" borderId="3" xfId="0" applyNumberFormat="1" applyFont="1" applyBorder="1" applyAlignment="1">
      <alignment horizontal="center" vertical="center"/>
    </xf>
    <xf numFmtId="2" fontId="36" fillId="0" borderId="3" xfId="0" applyNumberFormat="1" applyFont="1" applyBorder="1" applyAlignment="1">
      <alignment horizontal="center" vertical="center"/>
    </xf>
    <xf numFmtId="2" fontId="28" fillId="5" borderId="4" xfId="0" applyNumberFormat="1" applyFont="1" applyFill="1" applyBorder="1" applyAlignment="1">
      <alignment horizontal="center"/>
    </xf>
    <xf numFmtId="0" fontId="28" fillId="5" borderId="3" xfId="0" applyFont="1" applyFill="1" applyBorder="1" applyAlignment="1">
      <alignment horizontal="center"/>
    </xf>
    <xf numFmtId="0" fontId="29" fillId="5" borderId="4" xfId="0" applyFont="1" applyFill="1" applyBorder="1" applyAlignment="1">
      <alignment horizontal="center" vertical="center"/>
    </xf>
    <xf numFmtId="1" fontId="1" fillId="0" borderId="3" xfId="0" applyNumberFormat="1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 wrapText="1"/>
    </xf>
    <xf numFmtId="0" fontId="37" fillId="0" borderId="3" xfId="0" applyFont="1" applyBorder="1" applyAlignment="1">
      <alignment horizontal="center" vertical="center"/>
    </xf>
    <xf numFmtId="2" fontId="1" fillId="4" borderId="3" xfId="0" applyNumberFormat="1" applyFont="1" applyFill="1" applyBorder="1" applyAlignment="1">
      <alignment horizontal="center" vertical="center"/>
    </xf>
    <xf numFmtId="0" fontId="39" fillId="0" borderId="3" xfId="0" applyFont="1" applyBorder="1" applyAlignment="1">
      <alignment horizontal="center" vertical="center"/>
    </xf>
    <xf numFmtId="0" fontId="40" fillId="0" borderId="3" xfId="0" applyFont="1" applyBorder="1" applyAlignment="1">
      <alignment horizontal="center" vertical="center"/>
    </xf>
    <xf numFmtId="0" fontId="41" fillId="0" borderId="3" xfId="0" applyFont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4" fontId="39" fillId="0" borderId="3" xfId="0" applyNumberFormat="1" applyFont="1" applyFill="1" applyBorder="1" applyAlignment="1">
      <alignment vertical="center"/>
    </xf>
    <xf numFmtId="0" fontId="39" fillId="0" borderId="3" xfId="0" quotePrefix="1" applyFont="1" applyFill="1" applyBorder="1" applyAlignment="1">
      <alignment vertical="center"/>
    </xf>
    <xf numFmtId="2" fontId="39" fillId="0" borderId="3" xfId="0" applyNumberFormat="1" applyFont="1" applyFill="1" applyBorder="1" applyAlignment="1">
      <alignment vertical="center"/>
    </xf>
    <xf numFmtId="184" fontId="41" fillId="0" borderId="3" xfId="0" quotePrefix="1" applyNumberFormat="1" applyFont="1" applyFill="1" applyBorder="1" applyAlignment="1">
      <alignment vertical="center"/>
    </xf>
    <xf numFmtId="0" fontId="41" fillId="0" borderId="3" xfId="0" quotePrefix="1" applyFont="1" applyFill="1" applyBorder="1" applyAlignment="1">
      <alignment vertical="center"/>
    </xf>
    <xf numFmtId="2" fontId="39" fillId="0" borderId="3" xfId="0" applyNumberFormat="1" applyFont="1" applyBorder="1" applyAlignment="1">
      <alignment vertical="center"/>
    </xf>
    <xf numFmtId="0" fontId="39" fillId="0" borderId="3" xfId="0" quotePrefix="1" applyFont="1" applyBorder="1" applyAlignment="1">
      <alignment vertical="center" wrapText="1"/>
    </xf>
    <xf numFmtId="2" fontId="42" fillId="0" borderId="3" xfId="0" applyNumberFormat="1" applyFont="1" applyBorder="1" applyAlignment="1">
      <alignment horizontal="right" vertical="center"/>
    </xf>
    <xf numFmtId="2" fontId="39" fillId="0" borderId="3" xfId="0" applyNumberFormat="1" applyFont="1" applyBorder="1" applyAlignment="1">
      <alignment horizontal="center" vertical="center"/>
    </xf>
    <xf numFmtId="183" fontId="39" fillId="0" borderId="3" xfId="0" applyNumberFormat="1" applyFont="1" applyBorder="1" applyAlignment="1">
      <alignment horizontal="center" vertical="center"/>
    </xf>
    <xf numFmtId="2" fontId="40" fillId="0" borderId="3" xfId="0" applyNumberFormat="1" applyFont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182" fontId="1" fillId="4" borderId="3" xfId="0" applyNumberFormat="1" applyFont="1" applyFill="1" applyBorder="1" applyAlignment="1">
      <alignment horizontal="center" vertical="center"/>
    </xf>
    <xf numFmtId="0" fontId="28" fillId="5" borderId="4" xfId="0" applyFont="1" applyFill="1" applyBorder="1" applyAlignment="1">
      <alignment horizontal="center"/>
    </xf>
    <xf numFmtId="0" fontId="28" fillId="5" borderId="3" xfId="0" applyFont="1" applyFill="1" applyBorder="1" applyAlignment="1">
      <alignment horizontal="center"/>
    </xf>
    <xf numFmtId="0" fontId="29" fillId="5" borderId="3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1" fillId="5" borderId="3" xfId="0" applyFont="1" applyFill="1" applyBorder="1" applyAlignment="1">
      <alignment horizontal="center" vertical="center" wrapText="1"/>
    </xf>
    <xf numFmtId="0" fontId="30" fillId="0" borderId="3" xfId="0" applyFont="1" applyBorder="1" applyAlignment="1">
      <alignment horizontal="center" vertical="center"/>
    </xf>
    <xf numFmtId="1" fontId="1" fillId="5" borderId="3" xfId="0" applyNumberFormat="1" applyFont="1" applyFill="1" applyBorder="1" applyAlignment="1">
      <alignment horizontal="center" vertical="center"/>
    </xf>
    <xf numFmtId="185" fontId="1" fillId="5" borderId="3" xfId="0" applyNumberFormat="1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2" fontId="1" fillId="5" borderId="3" xfId="0" applyNumberFormat="1" applyFont="1" applyFill="1" applyBorder="1" applyAlignment="1">
      <alignment horizontal="center"/>
    </xf>
    <xf numFmtId="1" fontId="1" fillId="5" borderId="2" xfId="0" applyNumberFormat="1" applyFont="1" applyFill="1" applyBorder="1" applyAlignment="1">
      <alignment horizontal="center" vertical="center"/>
    </xf>
    <xf numFmtId="2" fontId="1" fillId="5" borderId="3" xfId="0" applyNumberFormat="1" applyFont="1" applyFill="1" applyBorder="1" applyAlignment="1">
      <alignment horizontal="center" vertical="center"/>
    </xf>
    <xf numFmtId="2" fontId="1" fillId="5" borderId="4" xfId="0" applyNumberFormat="1" applyFont="1" applyFill="1" applyBorder="1" applyAlignment="1">
      <alignment horizontal="center"/>
    </xf>
    <xf numFmtId="2" fontId="1" fillId="5" borderId="9" xfId="0" applyNumberFormat="1" applyFont="1" applyFill="1" applyBorder="1" applyAlignment="1">
      <alignment horizontal="center"/>
    </xf>
    <xf numFmtId="0" fontId="1" fillId="5" borderId="0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30" fillId="0" borderId="0" xfId="0" applyFont="1" applyAlignment="1">
      <alignment horizontal="center"/>
    </xf>
    <xf numFmtId="0" fontId="44" fillId="5" borderId="3" xfId="0" applyFont="1" applyFill="1" applyBorder="1" applyAlignment="1">
      <alignment horizontal="center"/>
    </xf>
    <xf numFmtId="0" fontId="44" fillId="5" borderId="4" xfId="0" applyFont="1" applyFill="1" applyBorder="1" applyAlignment="1">
      <alignment horizontal="center"/>
    </xf>
    <xf numFmtId="0" fontId="44" fillId="5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2" fontId="44" fillId="5" borderId="3" xfId="0" applyNumberFormat="1" applyFont="1" applyFill="1" applyBorder="1" applyAlignment="1">
      <alignment horizontal="center" vertical="center"/>
    </xf>
    <xf numFmtId="0" fontId="30" fillId="0" borderId="3" xfId="0" applyFont="1" applyBorder="1" applyAlignment="1">
      <alignment horizontal="center"/>
    </xf>
    <xf numFmtId="0" fontId="1" fillId="5" borderId="0" xfId="0" applyFont="1" applyFill="1" applyAlignment="1">
      <alignment horizontal="center" vertical="center"/>
    </xf>
    <xf numFmtId="2" fontId="1" fillId="0" borderId="0" xfId="0" applyNumberFormat="1" applyFont="1" applyBorder="1" applyAlignment="1">
      <alignment horizontal="center" vertical="center"/>
    </xf>
    <xf numFmtId="0" fontId="28" fillId="5" borderId="3" xfId="0" applyFont="1" applyFill="1" applyBorder="1" applyAlignment="1">
      <alignment horizontal="center"/>
    </xf>
    <xf numFmtId="2" fontId="28" fillId="5" borderId="4" xfId="0" applyNumberFormat="1" applyFont="1" applyFill="1" applyBorder="1" applyAlignment="1">
      <alignment horizontal="center"/>
    </xf>
    <xf numFmtId="1" fontId="28" fillId="5" borderId="3" xfId="0" applyNumberFormat="1" applyFont="1" applyFill="1" applyBorder="1" applyAlignment="1">
      <alignment horizontal="center"/>
    </xf>
    <xf numFmtId="2" fontId="28" fillId="5" borderId="3" xfId="0" applyNumberFormat="1" applyFont="1" applyFill="1" applyBorder="1" applyAlignment="1">
      <alignment horizontal="center"/>
    </xf>
    <xf numFmtId="2" fontId="42" fillId="0" borderId="9" xfId="0" applyNumberFormat="1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28" fillId="5" borderId="3" xfId="0" applyFont="1" applyFill="1" applyBorder="1" applyAlignment="1">
      <alignment horizontal="center" vertical="center"/>
    </xf>
    <xf numFmtId="2" fontId="28" fillId="5" borderId="3" xfId="0" applyNumberFormat="1" applyFont="1" applyFill="1" applyBorder="1" applyAlignment="1">
      <alignment horizontal="center" vertical="center"/>
    </xf>
    <xf numFmtId="0" fontId="28" fillId="5" borderId="3" xfId="0" applyFont="1" applyFill="1" applyBorder="1" applyAlignment="1">
      <alignment horizontal="center" vertical="center"/>
    </xf>
    <xf numFmtId="1" fontId="28" fillId="5" borderId="3" xfId="0" applyNumberFormat="1" applyFont="1" applyFill="1" applyBorder="1" applyAlignment="1">
      <alignment horizontal="center" vertical="center"/>
    </xf>
    <xf numFmtId="0" fontId="1" fillId="0" borderId="3" xfId="67" applyFont="1" applyBorder="1" applyAlignment="1">
      <alignment horizontal="center" vertical="center" wrapText="1"/>
    </xf>
    <xf numFmtId="0" fontId="47" fillId="0" borderId="0" xfId="67" applyAlignment="1">
      <alignment horizontal="center" vertical="center" wrapText="1"/>
    </xf>
    <xf numFmtId="0" fontId="47" fillId="0" borderId="0" xfId="67" applyAlignment="1">
      <alignment horizontal="center" vertical="center"/>
    </xf>
    <xf numFmtId="0" fontId="1" fillId="0" borderId="3" xfId="67" applyFont="1" applyBorder="1" applyAlignment="1">
      <alignment horizontal="center" vertical="center"/>
    </xf>
    <xf numFmtId="0" fontId="47" fillId="0" borderId="3" xfId="67" applyBorder="1" applyAlignment="1">
      <alignment horizontal="center" vertical="center"/>
    </xf>
    <xf numFmtId="0" fontId="29" fillId="5" borderId="4" xfId="0" applyFont="1" applyFill="1" applyBorder="1" applyAlignment="1">
      <alignment horizontal="center" vertical="center" wrapText="1"/>
    </xf>
    <xf numFmtId="0" fontId="29" fillId="5" borderId="3" xfId="0" applyFont="1" applyFill="1" applyBorder="1" applyAlignment="1">
      <alignment horizontal="center" vertical="center" wrapText="1"/>
    </xf>
    <xf numFmtId="0" fontId="28" fillId="5" borderId="7" xfId="0" applyFont="1" applyFill="1" applyBorder="1" applyAlignment="1">
      <alignment horizontal="center"/>
    </xf>
    <xf numFmtId="0" fontId="28" fillId="5" borderId="8" xfId="0" applyFont="1" applyFill="1" applyBorder="1" applyAlignment="1">
      <alignment horizontal="center"/>
    </xf>
    <xf numFmtId="0" fontId="28" fillId="5" borderId="13" xfId="0" applyFont="1" applyFill="1" applyBorder="1" applyAlignment="1">
      <alignment horizontal="center"/>
    </xf>
    <xf numFmtId="0" fontId="48" fillId="0" borderId="0" xfId="0" applyFont="1"/>
    <xf numFmtId="0" fontId="48" fillId="0" borderId="3" xfId="0" applyFont="1" applyBorder="1" applyAlignment="1">
      <alignment horizontal="center" vertical="center" wrapText="1"/>
    </xf>
    <xf numFmtId="0" fontId="32" fillId="4" borderId="4" xfId="0" applyFont="1" applyFill="1" applyBorder="1" applyAlignment="1">
      <alignment horizontal="center" vertical="center"/>
    </xf>
    <xf numFmtId="0" fontId="32" fillId="4" borderId="2" xfId="0" applyFont="1" applyFill="1" applyBorder="1" applyAlignment="1">
      <alignment horizontal="center" vertical="center"/>
    </xf>
    <xf numFmtId="0" fontId="32" fillId="4" borderId="9" xfId="0" applyFont="1" applyFill="1" applyBorder="1" applyAlignment="1">
      <alignment horizontal="center" vertical="center"/>
    </xf>
    <xf numFmtId="182" fontId="32" fillId="4" borderId="4" xfId="0" applyNumberFormat="1" applyFont="1" applyFill="1" applyBorder="1" applyAlignment="1">
      <alignment horizontal="center" vertical="center"/>
    </xf>
    <xf numFmtId="182" fontId="32" fillId="4" borderId="2" xfId="0" applyNumberFormat="1" applyFont="1" applyFill="1" applyBorder="1" applyAlignment="1">
      <alignment horizontal="center" vertical="center"/>
    </xf>
    <xf numFmtId="182" fontId="32" fillId="4" borderId="9" xfId="0" applyNumberFormat="1" applyFont="1" applyFill="1" applyBorder="1" applyAlignment="1">
      <alignment horizontal="center" vertical="center"/>
    </xf>
    <xf numFmtId="0" fontId="32" fillId="4" borderId="3" xfId="0" applyFont="1" applyFill="1" applyBorder="1" applyAlignment="1">
      <alignment horizontal="center" vertical="center" wrapText="1"/>
    </xf>
    <xf numFmtId="0" fontId="32" fillId="4" borderId="7" xfId="0" applyFont="1" applyFill="1" applyBorder="1" applyAlignment="1">
      <alignment horizontal="center" vertical="center" wrapText="1"/>
    </xf>
    <xf numFmtId="0" fontId="32" fillId="4" borderId="8" xfId="0" applyFont="1" applyFill="1" applyBorder="1" applyAlignment="1">
      <alignment horizontal="center" vertical="center" wrapText="1"/>
    </xf>
    <xf numFmtId="0" fontId="32" fillId="4" borderId="3" xfId="0" applyFont="1" applyFill="1" applyBorder="1" applyAlignment="1">
      <alignment horizontal="center" vertical="center"/>
    </xf>
    <xf numFmtId="0" fontId="31" fillId="4" borderId="0" xfId="0" applyFont="1" applyFill="1" applyAlignment="1">
      <alignment horizontal="center"/>
    </xf>
    <xf numFmtId="0" fontId="30" fillId="4" borderId="6" xfId="0" applyFont="1" applyFill="1" applyBorder="1" applyAlignment="1">
      <alignment horizontal="center" vertical="center"/>
    </xf>
    <xf numFmtId="0" fontId="42" fillId="0" borderId="3" xfId="0" applyFont="1" applyBorder="1" applyAlignment="1">
      <alignment horizontal="center" vertical="center"/>
    </xf>
    <xf numFmtId="0" fontId="13" fillId="0" borderId="3" xfId="0" applyFont="1" applyBorder="1" applyAlignment="1">
      <alignment horizontal="left"/>
    </xf>
    <xf numFmtId="0" fontId="13" fillId="0" borderId="4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" fillId="5" borderId="4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5" borderId="9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43" fillId="5" borderId="6" xfId="0" applyFont="1" applyFill="1" applyBorder="1" applyAlignment="1">
      <alignment horizontal="center" vertical="center"/>
    </xf>
    <xf numFmtId="0" fontId="30" fillId="0" borderId="3" xfId="0" applyFont="1" applyBorder="1" applyAlignment="1">
      <alignment horizontal="center" vertical="center" wrapText="1"/>
    </xf>
    <xf numFmtId="0" fontId="10" fillId="5" borderId="6" xfId="0" applyFont="1" applyFill="1" applyBorder="1" applyAlignment="1">
      <alignment horizontal="center" vertical="center"/>
    </xf>
    <xf numFmtId="0" fontId="44" fillId="5" borderId="3" xfId="0" applyFont="1" applyFill="1" applyBorder="1" applyAlignment="1">
      <alignment horizontal="center"/>
    </xf>
    <xf numFmtId="2" fontId="1" fillId="5" borderId="3" xfId="0" applyNumberFormat="1" applyFont="1" applyFill="1" applyBorder="1" applyAlignment="1">
      <alignment horizontal="center"/>
    </xf>
    <xf numFmtId="1" fontId="1" fillId="5" borderId="4" xfId="0" applyNumberFormat="1" applyFont="1" applyFill="1" applyBorder="1" applyAlignment="1">
      <alignment horizontal="center" vertical="center"/>
    </xf>
    <xf numFmtId="1" fontId="1" fillId="5" borderId="2" xfId="0" applyNumberFormat="1" applyFont="1" applyFill="1" applyBorder="1" applyAlignment="1">
      <alignment horizontal="center" vertical="center"/>
    </xf>
    <xf numFmtId="2" fontId="1" fillId="5" borderId="4" xfId="0" applyNumberFormat="1" applyFont="1" applyFill="1" applyBorder="1" applyAlignment="1">
      <alignment horizontal="center"/>
    </xf>
    <xf numFmtId="2" fontId="1" fillId="5" borderId="9" xfId="0" applyNumberFormat="1" applyFont="1" applyFill="1" applyBorder="1" applyAlignment="1">
      <alignment horizontal="center"/>
    </xf>
    <xf numFmtId="1" fontId="1" fillId="5" borderId="10" xfId="0" applyNumberFormat="1" applyFont="1" applyFill="1" applyBorder="1" applyAlignment="1">
      <alignment horizontal="center" vertical="center"/>
    </xf>
    <xf numFmtId="1" fontId="1" fillId="5" borderId="11" xfId="0" applyNumberFormat="1" applyFont="1" applyFill="1" applyBorder="1" applyAlignment="1">
      <alignment horizontal="center" vertical="center"/>
    </xf>
    <xf numFmtId="1" fontId="1" fillId="5" borderId="12" xfId="0" applyNumberFormat="1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/>
    </xf>
    <xf numFmtId="2" fontId="44" fillId="5" borderId="3" xfId="0" applyNumberFormat="1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/>
    </xf>
    <xf numFmtId="182" fontId="1" fillId="4" borderId="3" xfId="0" applyNumberFormat="1" applyFont="1" applyFill="1" applyBorder="1" applyAlignment="1">
      <alignment horizontal="center" vertical="center"/>
    </xf>
    <xf numFmtId="0" fontId="28" fillId="5" borderId="3" xfId="0" applyFont="1" applyFill="1" applyBorder="1" applyAlignment="1">
      <alignment horizontal="center" vertical="center"/>
    </xf>
    <xf numFmtId="0" fontId="28" fillId="5" borderId="4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33" fillId="5" borderId="6" xfId="0" applyFont="1" applyFill="1" applyBorder="1" applyAlignment="1">
      <alignment horizontal="center" vertical="center"/>
    </xf>
    <xf numFmtId="0" fontId="29" fillId="5" borderId="4" xfId="0" applyFont="1" applyFill="1" applyBorder="1" applyAlignment="1">
      <alignment horizontal="center" vertical="center"/>
    </xf>
    <xf numFmtId="0" fontId="29" fillId="5" borderId="2" xfId="0" applyFont="1" applyFill="1" applyBorder="1" applyAlignment="1">
      <alignment horizontal="center" vertical="center"/>
    </xf>
    <xf numFmtId="0" fontId="29" fillId="5" borderId="9" xfId="0" applyFont="1" applyFill="1" applyBorder="1" applyAlignment="1">
      <alignment horizontal="center" vertical="center"/>
    </xf>
    <xf numFmtId="0" fontId="29" fillId="5" borderId="3" xfId="0" applyFont="1" applyFill="1" applyBorder="1" applyAlignment="1">
      <alignment horizontal="center" vertical="center"/>
    </xf>
    <xf numFmtId="2" fontId="28" fillId="5" borderId="3" xfId="0" applyNumberFormat="1" applyFont="1" applyFill="1" applyBorder="1" applyAlignment="1">
      <alignment horizontal="center" vertical="center"/>
    </xf>
    <xf numFmtId="0" fontId="28" fillId="5" borderId="4" xfId="0" applyFont="1" applyFill="1" applyBorder="1" applyAlignment="1">
      <alignment horizontal="left"/>
    </xf>
    <xf numFmtId="0" fontId="28" fillId="5" borderId="2" xfId="0" applyFont="1" applyFill="1" applyBorder="1" applyAlignment="1">
      <alignment horizontal="left"/>
    </xf>
    <xf numFmtId="0" fontId="28" fillId="5" borderId="9" xfId="0" applyFont="1" applyFill="1" applyBorder="1" applyAlignment="1">
      <alignment horizontal="left"/>
    </xf>
    <xf numFmtId="2" fontId="28" fillId="5" borderId="4" xfId="0" applyNumberFormat="1" applyFont="1" applyFill="1" applyBorder="1" applyAlignment="1">
      <alignment horizontal="left"/>
    </xf>
    <xf numFmtId="2" fontId="28" fillId="5" borderId="2" xfId="0" applyNumberFormat="1" applyFont="1" applyFill="1" applyBorder="1" applyAlignment="1">
      <alignment horizontal="left"/>
    </xf>
    <xf numFmtId="2" fontId="28" fillId="5" borderId="9" xfId="0" applyNumberFormat="1" applyFont="1" applyFill="1" applyBorder="1" applyAlignment="1">
      <alignment horizontal="left"/>
    </xf>
    <xf numFmtId="0" fontId="37" fillId="0" borderId="3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 wrapText="1"/>
    </xf>
    <xf numFmtId="2" fontId="37" fillId="0" borderId="3" xfId="0" applyNumberFormat="1" applyFont="1" applyBorder="1" applyAlignment="1">
      <alignment horizontal="center" vertical="center"/>
    </xf>
    <xf numFmtId="0" fontId="1" fillId="0" borderId="3" xfId="67" applyFont="1" applyBorder="1" applyAlignment="1">
      <alignment horizontal="center" vertical="center"/>
    </xf>
    <xf numFmtId="0" fontId="47" fillId="0" borderId="3" xfId="67" applyBorder="1" applyAlignment="1">
      <alignment horizontal="center" vertical="center"/>
    </xf>
    <xf numFmtId="0" fontId="48" fillId="0" borderId="3" xfId="0" applyFont="1" applyBorder="1" applyAlignment="1">
      <alignment horizontal="center" vertical="center" wrapText="1"/>
    </xf>
    <xf numFmtId="184" fontId="48" fillId="0" borderId="3" xfId="0" applyNumberFormat="1" applyFont="1" applyBorder="1" applyAlignment="1">
      <alignment horizontal="center" vertical="center" wrapText="1"/>
    </xf>
  </cellXfs>
  <cellStyles count="68">
    <cellStyle name="??" xfId="1"/>
    <cellStyle name="?? [0.00]_PRODUCT DETAIL Q1" xfId="2"/>
    <cellStyle name="?? [0]" xfId="3"/>
    <cellStyle name="???? [0.00]_PRODUCT DETAIL Q1" xfId="4"/>
    <cellStyle name="????_PRODUCT DETAIL Q1" xfId="5"/>
    <cellStyle name="???[0]_Book1" xfId="6"/>
    <cellStyle name="???_95" xfId="7"/>
    <cellStyle name="??_(????)??????" xfId="8"/>
    <cellStyle name="??_kc-elec system check list" xfId="9"/>
    <cellStyle name="AeE­ [0]_INQUIRY ¿μ¾÷AßAø " xfId="10"/>
    <cellStyle name="AeE­_INQUIRY ¿µ¾÷AßAø " xfId="11"/>
    <cellStyle name="AÞ¸¶ [0]_INQUIRY ¿?¾÷AßAø " xfId="12"/>
    <cellStyle name="AÞ¸¶_INQUIRY ¿?¾÷AßAø " xfId="13"/>
    <cellStyle name="C?AØ_¿?¾÷CoE² " xfId="14"/>
    <cellStyle name="C￥AØ_¿μ¾÷CoE² " xfId="15"/>
    <cellStyle name="Ç¥ÁØ_S" xfId="16"/>
    <cellStyle name="comma zerodec" xfId="17"/>
    <cellStyle name="Comma0" xfId="18"/>
    <cellStyle name="Currency0" xfId="19"/>
    <cellStyle name="Currency1" xfId="20"/>
    <cellStyle name="Date" xfId="21"/>
    <cellStyle name="Dollar (zero dec)" xfId="22"/>
    <cellStyle name="Fixed" xfId="23"/>
    <cellStyle name="Grey" xfId="24"/>
    <cellStyle name="Header1" xfId="25"/>
    <cellStyle name="Header2" xfId="26"/>
    <cellStyle name="Heading 1" xfId="27" builtinId="16" customBuiltin="1"/>
    <cellStyle name="Heading 2" xfId="28" builtinId="17" customBuiltin="1"/>
    <cellStyle name="HEADING1" xfId="29"/>
    <cellStyle name="HEADING2" xfId="30"/>
    <cellStyle name="Input" xfId="31" builtinId="20" customBuiltin="1"/>
    <cellStyle name="Input [yellow]" xfId="32"/>
    <cellStyle name="Monétaire [0]_TARIFFS DB" xfId="33"/>
    <cellStyle name="Monétaire_TARIFFS DB" xfId="34"/>
    <cellStyle name="n" xfId="35"/>
    <cellStyle name="New Times Roman" xfId="36"/>
    <cellStyle name="no dec" xfId="37"/>
    <cellStyle name="Normal" xfId="0" builtinId="0"/>
    <cellStyle name="Normal - Style1" xfId="38"/>
    <cellStyle name="Normal 2" xfId="67"/>
    <cellStyle name="Normal 4" xfId="66"/>
    <cellStyle name="Percent [2]" xfId="39"/>
    <cellStyle name="T" xfId="40"/>
    <cellStyle name="th" xfId="41"/>
    <cellStyle name="Total" xfId="42" builtinId="25" customBuiltin="1"/>
    <cellStyle name="viet" xfId="43"/>
    <cellStyle name="viet2" xfId="44"/>
    <cellStyle name=" [0.00]_ Att. 1- Cover" xfId="63"/>
    <cellStyle name="_ Att. 1- Cover" xfId="64"/>
    <cellStyle name="?_ Att. 1- Cover" xfId="65"/>
    <cellStyle name="똿뗦먛귟 [0.00]_PRODUCT DETAIL Q1" xfId="45"/>
    <cellStyle name="똿뗦먛귟_PRODUCT DETAIL Q1" xfId="46"/>
    <cellStyle name="믅됞 [0.00]_PRODUCT DETAIL Q1" xfId="47"/>
    <cellStyle name="믅됞_PRODUCT DETAIL Q1" xfId="48"/>
    <cellStyle name="백분율_95" xfId="49"/>
    <cellStyle name="뷭?_BOOKSHIP" xfId="50"/>
    <cellStyle name="콤마 [0]_1202" xfId="54"/>
    <cellStyle name="콤마_1202" xfId="55"/>
    <cellStyle name="통화 [0]_1202" xfId="56"/>
    <cellStyle name="통화_1202" xfId="57"/>
    <cellStyle name="표준_(정보부문)월별인원계획" xfId="58"/>
    <cellStyle name="一般_00Q3902REV.1" xfId="51"/>
    <cellStyle name="千分位[0]_00Q3902REV.1" xfId="52"/>
    <cellStyle name="千分位_00Q3902REV.1" xfId="53"/>
    <cellStyle name="標準_Feeder積算" xfId="59"/>
    <cellStyle name="貨幣 [0]_00Q3902REV.1" xfId="60"/>
    <cellStyle name="貨幣[0]_BRE" xfId="61"/>
    <cellStyle name="貨幣_00Q3902REV.1" xfId="62"/>
  </cellStyles>
  <dxfs count="8"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5"/>
  <sheetViews>
    <sheetView workbookViewId="0"/>
  </sheetViews>
  <sheetFormatPr defaultColWidth="7.109375" defaultRowHeight="12.75"/>
  <cols>
    <col min="1" max="1" width="23.21875" style="1" customWidth="1"/>
    <col min="2" max="2" width="1" style="1" customWidth="1"/>
    <col min="3" max="3" width="25" style="1" customWidth="1"/>
    <col min="4" max="16384" width="7.109375" style="1"/>
  </cols>
  <sheetData>
    <row r="1" spans="1:3" ht="13.5" thickBot="1"/>
    <row r="2" spans="1:3" ht="15.75" thickBot="1">
      <c r="A2" s="2"/>
      <c r="C2" s="2"/>
    </row>
    <row r="3" spans="1:3" ht="15">
      <c r="A3" s="2"/>
      <c r="C3" s="2"/>
    </row>
    <row r="4" spans="1:3" ht="15">
      <c r="A4" s="2"/>
      <c r="C4" s="2"/>
    </row>
    <row r="5" spans="1:3" ht="15">
      <c r="A5" s="2"/>
      <c r="C5" s="2"/>
    </row>
    <row r="6" spans="1:3" ht="15.75" thickBot="1">
      <c r="A6" s="2"/>
      <c r="C6" s="2"/>
    </row>
    <row r="7" spans="1:3" ht="15">
      <c r="C7" s="2"/>
    </row>
    <row r="8" spans="1:3" ht="15.75" thickBot="1">
      <c r="C8" s="2"/>
    </row>
    <row r="9" spans="1:3" ht="15.75" thickBot="1">
      <c r="A9" s="2"/>
    </row>
    <row r="10" spans="1:3" ht="15.75" thickBot="1">
      <c r="A10" s="2"/>
      <c r="C10" s="2"/>
    </row>
    <row r="11" spans="1:3" ht="15">
      <c r="A11" s="2"/>
      <c r="C11" s="2"/>
    </row>
    <row r="12" spans="1:3" ht="15">
      <c r="A12" s="2"/>
      <c r="C12" s="2"/>
    </row>
    <row r="13" spans="1:3" ht="15">
      <c r="A13" s="2"/>
      <c r="C13" s="2"/>
    </row>
    <row r="14" spans="1:3" ht="15">
      <c r="A14" s="2"/>
      <c r="C14" s="2"/>
    </row>
    <row r="15" spans="1:3" ht="15">
      <c r="A15" s="2"/>
      <c r="C15" s="2"/>
    </row>
    <row r="16" spans="1:3" ht="15">
      <c r="A16" s="2"/>
      <c r="C16" s="2"/>
    </row>
    <row r="17" spans="1:3" ht="15">
      <c r="A17" s="2"/>
      <c r="C17" s="2"/>
    </row>
    <row r="18" spans="1:3" ht="15">
      <c r="A18" s="2"/>
      <c r="C18" s="2"/>
    </row>
    <row r="19" spans="1:3" ht="15">
      <c r="A19" s="2"/>
      <c r="C19" s="2"/>
    </row>
    <row r="20" spans="1:3" ht="15.75" thickBot="1">
      <c r="A20" s="2"/>
      <c r="C20" s="2"/>
    </row>
    <row r="21" spans="1:3" ht="15.75" thickBot="1">
      <c r="A21" s="2"/>
    </row>
    <row r="22" spans="1:3" ht="15.75" thickBot="1">
      <c r="A22" s="2"/>
      <c r="C22" s="2"/>
    </row>
    <row r="23" spans="1:3" ht="15">
      <c r="A23" s="2"/>
      <c r="C23" s="2"/>
    </row>
    <row r="24" spans="1:3" ht="15">
      <c r="A24" s="2"/>
      <c r="C24" s="2"/>
    </row>
    <row r="25" spans="1:3" ht="15">
      <c r="A25" s="2"/>
      <c r="C25" s="2"/>
    </row>
    <row r="26" spans="1:3" ht="15">
      <c r="A26" s="2"/>
      <c r="C26" s="2"/>
    </row>
    <row r="27" spans="1:3" ht="15">
      <c r="A27" s="2"/>
      <c r="C27" s="2"/>
    </row>
    <row r="28" spans="1:3" ht="15">
      <c r="A28" s="2"/>
      <c r="C28" s="2"/>
    </row>
    <row r="29" spans="1:3" ht="15">
      <c r="A29" s="2"/>
      <c r="C29" s="2"/>
    </row>
    <row r="30" spans="1:3" ht="15.75" thickBot="1">
      <c r="A30" s="2"/>
      <c r="C30" s="2"/>
    </row>
    <row r="31" spans="1:3" ht="15">
      <c r="C31" s="2"/>
    </row>
    <row r="32" spans="1:3" ht="15.75" thickBot="1">
      <c r="C32" s="2"/>
    </row>
    <row r="33" spans="1:3" ht="15">
      <c r="A33" s="2"/>
      <c r="C33" s="2"/>
    </row>
    <row r="34" spans="1:3" ht="15">
      <c r="A34" s="2"/>
      <c r="C34" s="2"/>
    </row>
    <row r="35" spans="1:3" ht="15.75" thickBot="1">
      <c r="A35" s="2"/>
      <c r="C35" s="2"/>
    </row>
  </sheetData>
  <sheetProtection password="CFB0" sheet="1" objects="1"/>
  <phoneticPr fontId="27" type="noConversion"/>
  <pageMargins left="0.75" right="0.75" top="0.41" bottom="0.5" header="0.22" footer="0.27"/>
  <pageSetup paperSize="9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9:C10"/>
  <sheetViews>
    <sheetView workbookViewId="0">
      <selection activeCell="B3" sqref="B3:E16"/>
    </sheetView>
  </sheetViews>
  <sheetFormatPr defaultRowHeight="15.75"/>
  <cols>
    <col min="1" max="16384" width="8.88671875" style="3"/>
  </cols>
  <sheetData>
    <row r="9" spans="2:3">
      <c r="B9" s="4" t="s">
        <v>0</v>
      </c>
      <c r="C9" s="4" t="s">
        <v>1</v>
      </c>
    </row>
    <row r="10" spans="2:3">
      <c r="B10" s="4" t="s">
        <v>2</v>
      </c>
      <c r="C10" s="4">
        <v>28388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32"/>
  <sheetViews>
    <sheetView topLeftCell="B13" workbookViewId="0">
      <selection activeCell="D31" sqref="D31:I31"/>
    </sheetView>
  </sheetViews>
  <sheetFormatPr defaultRowHeight="15"/>
  <cols>
    <col min="13" max="13" width="7.6640625" customWidth="1"/>
    <col min="14" max="14" width="5.77734375" customWidth="1"/>
    <col min="15" max="15" width="10.33203125" customWidth="1"/>
    <col min="16" max="16" width="6.33203125" customWidth="1"/>
    <col min="17" max="17" width="21.6640625" customWidth="1"/>
    <col min="18" max="18" width="6.33203125" customWidth="1"/>
    <col min="19" max="19" width="19.77734375" customWidth="1"/>
    <col min="20" max="20" width="7" customWidth="1"/>
    <col min="21" max="21" width="18.6640625" customWidth="1"/>
    <col min="22" max="22" width="7.5546875" customWidth="1"/>
    <col min="24" max="24" width="7.33203125" customWidth="1"/>
    <col min="25" max="25" width="18.5546875" customWidth="1"/>
  </cols>
  <sheetData>
    <row r="1" spans="1:25" ht="17.25">
      <c r="A1" s="111"/>
      <c r="B1" s="111"/>
      <c r="C1" s="111"/>
      <c r="D1" s="111"/>
      <c r="E1" s="111"/>
      <c r="F1" s="111"/>
      <c r="G1" s="111"/>
      <c r="H1" s="111"/>
      <c r="I1" s="111"/>
    </row>
    <row r="2" spans="1:25">
      <c r="A2" s="112"/>
      <c r="B2" s="112"/>
      <c r="C2" s="112"/>
      <c r="D2" s="112"/>
      <c r="E2" s="112"/>
      <c r="F2" s="112"/>
      <c r="G2" s="112"/>
      <c r="H2" s="112"/>
      <c r="I2" s="112"/>
    </row>
    <row r="3" spans="1:25">
      <c r="A3" s="107"/>
      <c r="B3" s="107"/>
      <c r="C3" s="107"/>
      <c r="D3" s="107"/>
      <c r="E3" s="107"/>
      <c r="F3" s="107"/>
      <c r="G3" s="107"/>
      <c r="H3" s="107"/>
      <c r="I3" s="107"/>
    </row>
    <row r="4" spans="1:25">
      <c r="A4" s="107"/>
      <c r="B4" s="107"/>
      <c r="C4" s="107"/>
      <c r="D4" s="107"/>
      <c r="E4" s="107"/>
      <c r="F4" s="107"/>
      <c r="G4" s="107"/>
      <c r="H4" s="107"/>
      <c r="I4" s="107"/>
    </row>
    <row r="5" spans="1:25">
      <c r="A5" s="108"/>
      <c r="B5" s="5"/>
      <c r="C5" s="5"/>
      <c r="D5" s="5"/>
      <c r="E5" s="5"/>
      <c r="F5" s="5"/>
      <c r="G5" s="6"/>
      <c r="H5" s="6"/>
      <c r="I5" s="7"/>
    </row>
    <row r="6" spans="1:25">
      <c r="A6" s="109"/>
      <c r="B6" s="5"/>
      <c r="C6" s="5"/>
      <c r="D6" s="5"/>
      <c r="E6" s="5"/>
      <c r="F6" s="5"/>
      <c r="G6" s="6"/>
      <c r="H6" s="6"/>
      <c r="I6" s="7"/>
    </row>
    <row r="7" spans="1:25">
      <c r="A7" s="107"/>
      <c r="B7" s="110"/>
      <c r="C7" s="110"/>
      <c r="D7" s="110"/>
      <c r="E7" s="104"/>
      <c r="F7" s="105"/>
      <c r="G7" s="105"/>
      <c r="H7" s="105"/>
      <c r="I7" s="106"/>
    </row>
    <row r="8" spans="1:25">
      <c r="A8" s="107"/>
      <c r="B8" s="110"/>
      <c r="C8" s="110"/>
      <c r="D8" s="110"/>
      <c r="E8" s="104"/>
      <c r="F8" s="105"/>
      <c r="G8" s="105"/>
      <c r="H8" s="105"/>
      <c r="I8" s="106"/>
    </row>
    <row r="9" spans="1:25">
      <c r="A9" s="107"/>
      <c r="B9" s="101"/>
      <c r="C9" s="102"/>
      <c r="D9" s="103"/>
      <c r="E9" s="104"/>
      <c r="F9" s="105"/>
      <c r="G9" s="105"/>
      <c r="H9" s="105"/>
      <c r="I9" s="106"/>
    </row>
    <row r="10" spans="1:25">
      <c r="A10" s="107"/>
      <c r="B10" s="101"/>
      <c r="C10" s="102"/>
      <c r="D10" s="103"/>
      <c r="E10" s="104"/>
      <c r="F10" s="105"/>
      <c r="G10" s="105"/>
      <c r="H10" s="105"/>
      <c r="I10" s="106"/>
    </row>
    <row r="12" spans="1:25">
      <c r="O12" t="s">
        <v>84</v>
      </c>
    </row>
    <row r="14" spans="1:25">
      <c r="M14" s="36" t="s">
        <v>15</v>
      </c>
      <c r="N14" s="36" t="s">
        <v>10</v>
      </c>
      <c r="O14" s="37"/>
      <c r="P14" s="36" t="s">
        <v>11</v>
      </c>
      <c r="Q14" s="37"/>
      <c r="R14" s="36" t="s">
        <v>12</v>
      </c>
      <c r="S14" s="37"/>
      <c r="T14" s="38" t="s">
        <v>31</v>
      </c>
      <c r="U14" s="38"/>
      <c r="V14" s="37" t="s">
        <v>32</v>
      </c>
      <c r="W14" s="37" t="s">
        <v>33</v>
      </c>
      <c r="X14" s="36" t="s">
        <v>34</v>
      </c>
      <c r="Y14" s="36" t="s">
        <v>40</v>
      </c>
    </row>
    <row r="15" spans="1:25">
      <c r="M15" s="39" t="s">
        <v>35</v>
      </c>
      <c r="N15" s="40">
        <f>+(0.63+1)/2</f>
        <v>0.81499999999999995</v>
      </c>
      <c r="O15" s="41" t="s">
        <v>154</v>
      </c>
      <c r="P15" s="42">
        <f>(11.88+7.277)/2</f>
        <v>9.58</v>
      </c>
      <c r="Q15" s="41" t="s">
        <v>155</v>
      </c>
      <c r="R15" s="40">
        <f>(5.623+7.279)/2</f>
        <v>6.4509999999999996</v>
      </c>
      <c r="S15" s="41" t="s">
        <v>156</v>
      </c>
      <c r="T15" s="43">
        <f>(P15^2+R15^2)^0.5</f>
        <v>11.55</v>
      </c>
      <c r="U15" s="44" t="s">
        <v>157</v>
      </c>
      <c r="V15" s="45">
        <f>1/12*PI()*R15*(P15^2+P15*N15+N15^2)</f>
        <v>169.31</v>
      </c>
      <c r="W15" s="45">
        <f>0.25*PI()*T15*(N15+P15)</f>
        <v>94.3</v>
      </c>
      <c r="X15" s="45">
        <f>+W15*0.1</f>
        <v>9.43</v>
      </c>
      <c r="Y15" s="45">
        <f>+V15-X15</f>
        <v>159.88</v>
      </c>
    </row>
    <row r="16" spans="1:25" ht="15" customHeight="1">
      <c r="M16" s="36" t="s">
        <v>36</v>
      </c>
      <c r="N16" s="40">
        <f>+(0.63+1)/2</f>
        <v>0.81499999999999995</v>
      </c>
      <c r="O16" s="41" t="s">
        <v>154</v>
      </c>
      <c r="P16" s="45">
        <f>+(8.49+7.937)/2</f>
        <v>8.2100000000000009</v>
      </c>
      <c r="Q16" s="46" t="s">
        <v>158</v>
      </c>
      <c r="R16" s="40">
        <v>3.927</v>
      </c>
      <c r="S16" s="41" t="s">
        <v>159</v>
      </c>
      <c r="T16" s="43">
        <f>(P16^2+R16^2)^0.5</f>
        <v>9.1010000000000009</v>
      </c>
      <c r="U16" s="44" t="s">
        <v>160</v>
      </c>
      <c r="V16" s="45">
        <f>1/12*PI()*R16*(P16^2+P16*N16+N16^2)</f>
        <v>76.86</v>
      </c>
      <c r="W16" s="45">
        <f>0.25*PI()*T16*(N16+P16)</f>
        <v>64.510000000000005</v>
      </c>
      <c r="X16" s="45">
        <f>+W16*0.1</f>
        <v>6.45</v>
      </c>
      <c r="Y16" s="45">
        <f>+V16-X16</f>
        <v>70.41</v>
      </c>
    </row>
    <row r="17" spans="4:25">
      <c r="M17" s="113" t="s">
        <v>41</v>
      </c>
      <c r="N17" s="113"/>
      <c r="O17" s="113"/>
      <c r="P17" s="113"/>
      <c r="Q17" s="113"/>
      <c r="R17" s="113"/>
      <c r="S17" s="113"/>
      <c r="T17" s="113"/>
      <c r="U17" s="113"/>
      <c r="V17" s="113"/>
      <c r="W17" s="83">
        <f>W15+W16</f>
        <v>158.81</v>
      </c>
      <c r="X17" s="47"/>
      <c r="Y17" s="47">
        <f>SUM(Y15:Y16)</f>
        <v>230.29</v>
      </c>
    </row>
    <row r="18" spans="4:25">
      <c r="M18" s="12"/>
      <c r="N18" s="13"/>
      <c r="O18" s="14" t="s">
        <v>85</v>
      </c>
      <c r="P18" s="13"/>
      <c r="Q18" s="12"/>
      <c r="R18" s="15"/>
      <c r="S18" s="12"/>
      <c r="T18" s="16"/>
      <c r="U18" s="17"/>
      <c r="V18" s="13"/>
      <c r="W18" s="13"/>
      <c r="X18" s="13"/>
      <c r="Y18" s="13"/>
    </row>
    <row r="19" spans="4:25">
      <c r="M19" s="36" t="s">
        <v>15</v>
      </c>
      <c r="N19" s="48" t="s">
        <v>10</v>
      </c>
      <c r="O19" s="37"/>
      <c r="P19" s="48" t="s">
        <v>11</v>
      </c>
      <c r="Q19" s="37"/>
      <c r="R19" s="49" t="s">
        <v>12</v>
      </c>
      <c r="S19" s="37"/>
      <c r="T19" s="38" t="s">
        <v>31</v>
      </c>
      <c r="U19" s="38"/>
      <c r="V19" s="50" t="s">
        <v>32</v>
      </c>
      <c r="W19" s="50" t="s">
        <v>33</v>
      </c>
      <c r="X19" s="48" t="s">
        <v>34</v>
      </c>
      <c r="Y19" s="36" t="s">
        <v>40</v>
      </c>
    </row>
    <row r="20" spans="4:25">
      <c r="M20" s="39" t="s">
        <v>35</v>
      </c>
      <c r="N20" s="40">
        <f>+(0.63+1)/2</f>
        <v>0.81499999999999995</v>
      </c>
      <c r="O20" s="41" t="s">
        <v>154</v>
      </c>
      <c r="P20" s="42">
        <f>(9.185+8.15)/2</f>
        <v>8.67</v>
      </c>
      <c r="Q20" s="41" t="s">
        <v>161</v>
      </c>
      <c r="R20" s="40">
        <v>4.2699999999999996</v>
      </c>
      <c r="S20" s="41" t="s">
        <v>162</v>
      </c>
      <c r="T20" s="43">
        <f>(P20^2+R20^2)^0.5</f>
        <v>9.6639999999999997</v>
      </c>
      <c r="U20" s="41" t="s">
        <v>163</v>
      </c>
      <c r="V20" s="45">
        <f>1/12*PI()*R20*(P20^2+P20*N20+N20^2)</f>
        <v>92.67</v>
      </c>
      <c r="W20" s="45">
        <f>0.25*PI()*T20*(N20+P20)</f>
        <v>71.989999999999995</v>
      </c>
      <c r="X20" s="45">
        <f>+W20*0.1</f>
        <v>7.2</v>
      </c>
      <c r="Y20" s="45">
        <f>+V20-X20</f>
        <v>85.47</v>
      </c>
    </row>
    <row r="21" spans="4:25">
      <c r="M21" s="36" t="s">
        <v>42</v>
      </c>
      <c r="N21" s="40">
        <f>+(0.63+1)/2</f>
        <v>0.81499999999999995</v>
      </c>
      <c r="O21" s="41" t="s">
        <v>154</v>
      </c>
      <c r="P21" s="42">
        <f>(15.86+8)/2</f>
        <v>11.93</v>
      </c>
      <c r="Q21" s="41" t="s">
        <v>164</v>
      </c>
      <c r="R21" s="40">
        <f>(6.75+6.983)/2</f>
        <v>6.867</v>
      </c>
      <c r="S21" s="41" t="s">
        <v>165</v>
      </c>
      <c r="T21" s="43">
        <f>(P21^2+R21^2)^0.5</f>
        <v>13.765000000000001</v>
      </c>
      <c r="U21" s="41" t="s">
        <v>166</v>
      </c>
      <c r="V21" s="45">
        <f>1/12*PI()*R21*(P21^2+P21*N21+N21^2)</f>
        <v>274.54000000000002</v>
      </c>
      <c r="W21" s="45">
        <f>0.25*PI()*T21*(N21+P21)</f>
        <v>137.79</v>
      </c>
      <c r="X21" s="45">
        <f>+W21*0.1</f>
        <v>13.78</v>
      </c>
      <c r="Y21" s="45">
        <f>+V21-X21</f>
        <v>260.76</v>
      </c>
    </row>
    <row r="22" spans="4:25">
      <c r="M22" s="113" t="s">
        <v>41</v>
      </c>
      <c r="N22" s="113"/>
      <c r="O22" s="113"/>
      <c r="P22" s="113"/>
      <c r="Q22" s="113"/>
      <c r="R22" s="113"/>
      <c r="S22" s="113"/>
      <c r="T22" s="113"/>
      <c r="U22" s="113"/>
      <c r="V22" s="113"/>
      <c r="W22" s="83">
        <f>W20+W21</f>
        <v>209.78</v>
      </c>
      <c r="X22" s="47"/>
      <c r="Y22" s="47">
        <f>SUM(Y20:Y21)</f>
        <v>346.23</v>
      </c>
    </row>
    <row r="28" spans="4:25">
      <c r="D28" s="115" t="s">
        <v>133</v>
      </c>
      <c r="E28" s="116"/>
      <c r="F28" s="116"/>
      <c r="G28" s="116"/>
      <c r="H28" s="116"/>
      <c r="I28" s="117"/>
    </row>
    <row r="29" spans="4:25">
      <c r="D29" s="114" t="s">
        <v>37</v>
      </c>
      <c r="E29" s="114"/>
      <c r="F29" s="114"/>
      <c r="G29" s="114"/>
      <c r="H29" s="114"/>
      <c r="I29" s="114"/>
    </row>
    <row r="30" spans="4:25">
      <c r="D30" s="114" t="s">
        <v>38</v>
      </c>
      <c r="E30" s="114"/>
      <c r="F30" s="114"/>
      <c r="G30" s="114"/>
      <c r="H30" s="114"/>
      <c r="I30" s="114"/>
    </row>
    <row r="31" spans="4:25">
      <c r="D31" s="114" t="s">
        <v>86</v>
      </c>
      <c r="E31" s="114"/>
      <c r="F31" s="114"/>
      <c r="G31" s="114"/>
      <c r="H31" s="114"/>
      <c r="I31" s="114"/>
    </row>
    <row r="32" spans="4:25">
      <c r="D32" s="114" t="s">
        <v>39</v>
      </c>
      <c r="E32" s="114"/>
      <c r="F32" s="114"/>
      <c r="G32" s="114"/>
      <c r="H32" s="114"/>
      <c r="I32" s="114"/>
    </row>
  </sheetData>
  <mergeCells count="28">
    <mergeCell ref="M17:V17"/>
    <mergeCell ref="M22:V22"/>
    <mergeCell ref="D32:I32"/>
    <mergeCell ref="D29:I29"/>
    <mergeCell ref="D30:I30"/>
    <mergeCell ref="D31:I31"/>
    <mergeCell ref="D28:I28"/>
    <mergeCell ref="A1:I1"/>
    <mergeCell ref="A2:I2"/>
    <mergeCell ref="A3:A4"/>
    <mergeCell ref="B3:B4"/>
    <mergeCell ref="C3:C4"/>
    <mergeCell ref="D3:D4"/>
    <mergeCell ref="E3:E4"/>
    <mergeCell ref="F3:F4"/>
    <mergeCell ref="G3:G4"/>
    <mergeCell ref="B10:D10"/>
    <mergeCell ref="E10:I10"/>
    <mergeCell ref="H3:H4"/>
    <mergeCell ref="I3:I4"/>
    <mergeCell ref="A5:A6"/>
    <mergeCell ref="A7:A10"/>
    <mergeCell ref="B7:D7"/>
    <mergeCell ref="E7:I7"/>
    <mergeCell ref="B8:D8"/>
    <mergeCell ref="E8:I8"/>
    <mergeCell ref="B9:D9"/>
    <mergeCell ref="E9:I9"/>
  </mergeCells>
  <conditionalFormatting sqref="M21:M22 R16 M14 M15:P16 M18:P20 M17 R18:R20">
    <cfRule type="expression" dxfId="7" priority="8" stopIfTrue="1">
      <formula>cellhasformula</formula>
    </cfRule>
  </conditionalFormatting>
  <conditionalFormatting sqref="R15:W15">
    <cfRule type="expression" dxfId="6" priority="7" stopIfTrue="1">
      <formula>cellhasformula</formula>
    </cfRule>
  </conditionalFormatting>
  <conditionalFormatting sqref="W16:W20">
    <cfRule type="expression" dxfId="5" priority="6" stopIfTrue="1">
      <formula>cellhasformula</formula>
    </cfRule>
  </conditionalFormatting>
  <conditionalFormatting sqref="O21">
    <cfRule type="expression" dxfId="4" priority="5" stopIfTrue="1">
      <formula>cellhasformula</formula>
    </cfRule>
  </conditionalFormatting>
  <conditionalFormatting sqref="N21">
    <cfRule type="expression" dxfId="3" priority="4" stopIfTrue="1">
      <formula>cellhasformula</formula>
    </cfRule>
  </conditionalFormatting>
  <conditionalFormatting sqref="T16">
    <cfRule type="expression" dxfId="2" priority="3" stopIfTrue="1">
      <formula>cellhasformula</formula>
    </cfRule>
  </conditionalFormatting>
  <conditionalFormatting sqref="T20">
    <cfRule type="expression" dxfId="1" priority="2" stopIfTrue="1">
      <formula>cellhasformula</formula>
    </cfRule>
  </conditionalFormatting>
  <conditionalFormatting sqref="T21">
    <cfRule type="expression" dxfId="0" priority="1" stopIfTrue="1">
      <formula>cellhasformula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Y55"/>
  <sheetViews>
    <sheetView workbookViewId="0">
      <selection activeCell="B13" sqref="B13:AJ13"/>
    </sheetView>
  </sheetViews>
  <sheetFormatPr defaultRowHeight="15"/>
  <cols>
    <col min="1" max="1" width="5.21875" style="56" customWidth="1"/>
    <col min="2" max="2" width="11.21875" style="70" customWidth="1"/>
    <col min="3" max="3" width="13.109375" style="70" customWidth="1"/>
    <col min="4" max="5" width="5.5546875" style="70" customWidth="1"/>
    <col min="6" max="6" width="5.44140625" style="70" customWidth="1"/>
    <col min="7" max="7" width="7.33203125" style="70" customWidth="1"/>
    <col min="8" max="8" width="5.21875" style="70" customWidth="1"/>
    <col min="9" max="10" width="5.5546875" style="70" customWidth="1"/>
    <col min="11" max="13" width="5.21875" style="70" customWidth="1"/>
    <col min="14" max="14" width="6.5546875" style="70" customWidth="1"/>
    <col min="15" max="15" width="5.21875" style="70" customWidth="1"/>
    <col min="16" max="16" width="5.44140625" style="70" customWidth="1"/>
    <col min="17" max="18" width="5.21875" style="70" customWidth="1"/>
    <col min="19" max="19" width="8.109375" style="70" customWidth="1"/>
    <col min="20" max="20" width="7.88671875" style="70" customWidth="1"/>
    <col min="21" max="21" width="7.77734375" style="70" customWidth="1"/>
    <col min="22" max="22" width="6.6640625" style="70" customWidth="1"/>
    <col min="23" max="23" width="8.77734375" style="70" customWidth="1"/>
    <col min="24" max="24" width="5.77734375" style="70" customWidth="1"/>
    <col min="25" max="26" width="6.6640625" style="70" customWidth="1"/>
    <col min="27" max="27" width="6.109375" style="70" customWidth="1"/>
    <col min="28" max="28" width="5.109375" style="70" customWidth="1"/>
    <col min="29" max="30" width="5.77734375" style="70" customWidth="1"/>
    <col min="31" max="31" width="5" style="70" customWidth="1"/>
    <col min="32" max="32" width="5.77734375" style="70" customWidth="1"/>
    <col min="33" max="34" width="5.33203125" style="70" customWidth="1"/>
    <col min="35" max="35" width="9.88671875" style="70" customWidth="1"/>
    <col min="36" max="39" width="8.88671875" style="70"/>
    <col min="40" max="40" width="8.109375" style="70" customWidth="1"/>
    <col min="41" max="41" width="2.6640625" style="70" hidden="1" customWidth="1"/>
    <col min="42" max="16384" width="8.88671875" style="70"/>
  </cols>
  <sheetData>
    <row r="1" spans="1:44" ht="16.5">
      <c r="A1" s="122" t="s">
        <v>16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  <c r="AH1" s="122"/>
      <c r="AI1" s="122"/>
      <c r="AJ1" s="122"/>
    </row>
    <row r="2" spans="1:44" ht="15" customHeight="1">
      <c r="A2" s="123" t="s">
        <v>4</v>
      </c>
      <c r="B2" s="121" t="s">
        <v>17</v>
      </c>
      <c r="C2" s="121" t="s">
        <v>27</v>
      </c>
      <c r="D2" s="121" t="s">
        <v>18</v>
      </c>
      <c r="E2" s="57"/>
      <c r="F2" s="121" t="s">
        <v>19</v>
      </c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18" t="s">
        <v>20</v>
      </c>
      <c r="T2" s="120"/>
      <c r="U2" s="118" t="s">
        <v>21</v>
      </c>
      <c r="V2" s="119"/>
      <c r="W2" s="119"/>
      <c r="X2" s="119"/>
      <c r="Y2" s="119"/>
      <c r="Z2" s="119"/>
      <c r="AA2" s="119"/>
      <c r="AB2" s="119"/>
      <c r="AC2" s="119"/>
      <c r="AD2" s="119"/>
      <c r="AE2" s="119"/>
      <c r="AF2" s="119"/>
      <c r="AG2" s="119"/>
      <c r="AH2" s="119"/>
      <c r="AI2" s="121" t="s">
        <v>19</v>
      </c>
      <c r="AJ2" s="121"/>
    </row>
    <row r="3" spans="1:44" ht="60.75" customHeight="1">
      <c r="A3" s="123"/>
      <c r="B3" s="121"/>
      <c r="C3" s="121"/>
      <c r="D3" s="121"/>
      <c r="E3" s="57" t="s">
        <v>22</v>
      </c>
      <c r="F3" s="57" t="s">
        <v>13</v>
      </c>
      <c r="G3" s="57" t="s">
        <v>141</v>
      </c>
      <c r="H3" s="57" t="s">
        <v>26</v>
      </c>
      <c r="I3" s="57" t="s">
        <v>111</v>
      </c>
      <c r="J3" s="57" t="s">
        <v>112</v>
      </c>
      <c r="K3" s="57" t="s">
        <v>113</v>
      </c>
      <c r="L3" s="57" t="s">
        <v>114</v>
      </c>
      <c r="M3" s="57" t="s">
        <v>115</v>
      </c>
      <c r="N3" s="57" t="s">
        <v>116</v>
      </c>
      <c r="O3" s="57" t="s">
        <v>44</v>
      </c>
      <c r="P3" s="57" t="s">
        <v>45</v>
      </c>
      <c r="Q3" s="57" t="s">
        <v>117</v>
      </c>
      <c r="R3" s="57" t="s">
        <v>8</v>
      </c>
      <c r="S3" s="57" t="s">
        <v>118</v>
      </c>
      <c r="T3" s="57" t="s">
        <v>142</v>
      </c>
      <c r="U3" s="57" t="s">
        <v>22</v>
      </c>
      <c r="V3" s="57" t="s">
        <v>13</v>
      </c>
      <c r="W3" s="57" t="s">
        <v>141</v>
      </c>
      <c r="X3" s="57" t="s">
        <v>26</v>
      </c>
      <c r="Y3" s="57" t="s">
        <v>111</v>
      </c>
      <c r="Z3" s="57" t="s">
        <v>112</v>
      </c>
      <c r="AA3" s="57" t="s">
        <v>113</v>
      </c>
      <c r="AB3" s="57" t="s">
        <v>114</v>
      </c>
      <c r="AC3" s="57" t="s">
        <v>115</v>
      </c>
      <c r="AD3" s="57" t="s">
        <v>116</v>
      </c>
      <c r="AE3" s="57" t="s">
        <v>44</v>
      </c>
      <c r="AF3" s="57" t="s">
        <v>45</v>
      </c>
      <c r="AG3" s="57" t="s">
        <v>117</v>
      </c>
      <c r="AH3" s="57" t="s">
        <v>8</v>
      </c>
      <c r="AI3" s="57" t="s">
        <v>153</v>
      </c>
      <c r="AJ3" s="57" t="s">
        <v>130</v>
      </c>
    </row>
    <row r="4" spans="1:44" ht="15.75">
      <c r="A4" s="58">
        <v>1</v>
      </c>
      <c r="B4" s="59" t="s">
        <v>24</v>
      </c>
      <c r="C4" s="60">
        <v>778.79399999999998</v>
      </c>
      <c r="D4" s="65"/>
      <c r="E4" s="65">
        <v>0</v>
      </c>
      <c r="F4" s="65">
        <v>0</v>
      </c>
      <c r="G4" s="65">
        <v>0</v>
      </c>
      <c r="H4" s="65">
        <v>0</v>
      </c>
      <c r="I4" s="65">
        <v>0</v>
      </c>
      <c r="J4" s="65">
        <v>0</v>
      </c>
      <c r="K4" s="65">
        <v>3.58</v>
      </c>
      <c r="L4" s="65">
        <v>1.44</v>
      </c>
      <c r="M4" s="65">
        <v>2.68</v>
      </c>
      <c r="N4" s="65">
        <v>0.22</v>
      </c>
      <c r="O4" s="65">
        <v>0</v>
      </c>
      <c r="P4" s="65">
        <v>0</v>
      </c>
      <c r="Q4" s="65">
        <v>0</v>
      </c>
      <c r="R4" s="65">
        <v>0</v>
      </c>
      <c r="S4" s="65">
        <v>16.86</v>
      </c>
      <c r="T4" s="65">
        <v>0</v>
      </c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65"/>
      <c r="AI4" s="65"/>
      <c r="AK4" s="124"/>
      <c r="AL4" s="124"/>
      <c r="AM4" s="124"/>
      <c r="AN4" s="124"/>
      <c r="AO4" s="124"/>
      <c r="AP4" s="124"/>
      <c r="AQ4" s="124"/>
      <c r="AR4" s="124"/>
    </row>
    <row r="5" spans="1:44">
      <c r="A5" s="58">
        <v>2</v>
      </c>
      <c r="B5" s="59" t="s">
        <v>143</v>
      </c>
      <c r="C5" s="60">
        <v>780</v>
      </c>
      <c r="D5" s="65">
        <f>C5-C4</f>
        <v>1.21</v>
      </c>
      <c r="E5" s="65">
        <v>0</v>
      </c>
      <c r="F5" s="65">
        <v>0</v>
      </c>
      <c r="G5" s="65">
        <v>15.03</v>
      </c>
      <c r="H5" s="65">
        <v>0</v>
      </c>
      <c r="I5" s="65">
        <v>0</v>
      </c>
      <c r="J5" s="65">
        <v>0</v>
      </c>
      <c r="K5" s="65">
        <v>3.56</v>
      </c>
      <c r="L5" s="65">
        <v>1.55</v>
      </c>
      <c r="M5" s="65">
        <v>3.09</v>
      </c>
      <c r="N5" s="65">
        <v>0.23</v>
      </c>
      <c r="O5" s="65">
        <v>0</v>
      </c>
      <c r="P5" s="65">
        <v>0</v>
      </c>
      <c r="Q5" s="65">
        <v>0</v>
      </c>
      <c r="R5" s="65">
        <v>0</v>
      </c>
      <c r="S5" s="65">
        <v>16.309999999999999</v>
      </c>
      <c r="T5" s="65">
        <v>0</v>
      </c>
      <c r="U5" s="65">
        <f>(E4+E5)/2*$D$5</f>
        <v>0</v>
      </c>
      <c r="V5" s="65">
        <f>(F4+F5)/2*$D$5</f>
        <v>0</v>
      </c>
      <c r="W5" s="65">
        <f>(G4+G5)/2*$D$5</f>
        <v>9.09</v>
      </c>
      <c r="X5" s="65">
        <f t="shared" ref="X5:Z5" si="0">(H4+H5)/2*$D$5</f>
        <v>0</v>
      </c>
      <c r="Y5" s="65">
        <f t="shared" si="0"/>
        <v>0</v>
      </c>
      <c r="Z5" s="65">
        <f t="shared" si="0"/>
        <v>0</v>
      </c>
      <c r="AA5" s="65">
        <f>(K4+K5)/2*0.98</f>
        <v>3.5</v>
      </c>
      <c r="AB5" s="65">
        <f t="shared" ref="AB5:AD5" si="1">(L4+L5)/2*0.98</f>
        <v>1.47</v>
      </c>
      <c r="AC5" s="65">
        <f t="shared" si="1"/>
        <v>2.83</v>
      </c>
      <c r="AD5" s="65">
        <f t="shared" si="1"/>
        <v>0.22</v>
      </c>
      <c r="AE5" s="65">
        <f>(O4+O5)/2*$D$5</f>
        <v>0</v>
      </c>
      <c r="AF5" s="65">
        <f t="shared" ref="AF5:AJ5" si="2">(P4+P5)/2*$D$5</f>
        <v>0</v>
      </c>
      <c r="AG5" s="65">
        <f t="shared" si="2"/>
        <v>0</v>
      </c>
      <c r="AH5" s="65">
        <f t="shared" si="2"/>
        <v>0</v>
      </c>
      <c r="AI5" s="65">
        <f t="shared" si="2"/>
        <v>20.07</v>
      </c>
      <c r="AJ5" s="65">
        <f t="shared" si="2"/>
        <v>0</v>
      </c>
      <c r="AK5" s="71"/>
      <c r="AL5" s="72"/>
      <c r="AM5" s="73"/>
      <c r="AN5" s="73"/>
      <c r="AO5" s="73"/>
      <c r="AP5" s="72"/>
      <c r="AQ5" s="125"/>
      <c r="AR5" s="125"/>
    </row>
    <row r="6" spans="1:44">
      <c r="A6" s="58">
        <v>3</v>
      </c>
      <c r="B6" s="59" t="s">
        <v>25</v>
      </c>
      <c r="C6" s="60">
        <v>787.44</v>
      </c>
      <c r="D6" s="65">
        <f t="shared" ref="D6:D11" si="3">C6-C5</f>
        <v>7.44</v>
      </c>
      <c r="E6" s="65">
        <v>13.15</v>
      </c>
      <c r="F6" s="65">
        <v>157.09</v>
      </c>
      <c r="G6" s="65">
        <v>111.48</v>
      </c>
      <c r="H6" s="65">
        <v>111.48</v>
      </c>
      <c r="I6" s="65">
        <v>15.61</v>
      </c>
      <c r="J6" s="65">
        <v>7.81</v>
      </c>
      <c r="K6" s="65">
        <v>6.28</v>
      </c>
      <c r="L6" s="65">
        <v>2.5</v>
      </c>
      <c r="M6" s="65">
        <v>7.65</v>
      </c>
      <c r="N6" s="65">
        <v>0.34</v>
      </c>
      <c r="O6" s="65">
        <v>0</v>
      </c>
      <c r="P6" s="65">
        <v>0</v>
      </c>
      <c r="Q6" s="65">
        <v>0</v>
      </c>
      <c r="R6" s="65">
        <v>0</v>
      </c>
      <c r="S6" s="65">
        <v>10.63</v>
      </c>
      <c r="T6" s="65">
        <v>49.24</v>
      </c>
      <c r="U6" s="65">
        <v>0</v>
      </c>
      <c r="V6" s="65">
        <v>0</v>
      </c>
      <c r="W6" s="65">
        <f>(G5+G6)/2*$D$6</f>
        <v>470.62</v>
      </c>
      <c r="X6" s="65">
        <v>0</v>
      </c>
      <c r="Y6" s="65">
        <v>0</v>
      </c>
      <c r="Z6" s="65">
        <v>0</v>
      </c>
      <c r="AA6" s="65">
        <f>(K5+K6)/2*9.08</f>
        <v>44.67</v>
      </c>
      <c r="AB6" s="65">
        <f t="shared" ref="AB6:AD6" si="4">(L5+L6)/2*9.08</f>
        <v>18.39</v>
      </c>
      <c r="AC6" s="65">
        <f t="shared" si="4"/>
        <v>48.76</v>
      </c>
      <c r="AD6" s="65">
        <f t="shared" si="4"/>
        <v>2.59</v>
      </c>
      <c r="AE6" s="65">
        <f t="shared" ref="AE6:AH6" si="5">(O5+O6)/2*$E$6</f>
        <v>0</v>
      </c>
      <c r="AF6" s="65">
        <f t="shared" si="5"/>
        <v>0</v>
      </c>
      <c r="AG6" s="65">
        <f t="shared" si="5"/>
        <v>0</v>
      </c>
      <c r="AH6" s="65">
        <f t="shared" si="5"/>
        <v>0</v>
      </c>
      <c r="AI6" s="65">
        <f>(S5+S6)/2*$D$6</f>
        <v>100.22</v>
      </c>
      <c r="AJ6" s="65">
        <v>0</v>
      </c>
      <c r="AK6" s="61"/>
      <c r="AL6" s="66"/>
      <c r="AM6" s="74"/>
      <c r="AN6" s="74"/>
      <c r="AO6" s="74"/>
      <c r="AP6" s="62"/>
      <c r="AQ6" s="126"/>
      <c r="AR6" s="126"/>
    </row>
    <row r="7" spans="1:44">
      <c r="A7" s="58">
        <v>4</v>
      </c>
      <c r="B7" s="59" t="s">
        <v>110</v>
      </c>
      <c r="C7" s="60">
        <v>789.15499999999997</v>
      </c>
      <c r="D7" s="65">
        <f t="shared" si="3"/>
        <v>1.71</v>
      </c>
      <c r="E7" s="65">
        <v>12.56</v>
      </c>
      <c r="F7" s="65">
        <v>139.41</v>
      </c>
      <c r="G7" s="65">
        <v>0</v>
      </c>
      <c r="H7" s="65">
        <v>126.02</v>
      </c>
      <c r="I7" s="65">
        <v>15.13</v>
      </c>
      <c r="J7" s="65">
        <v>7.41</v>
      </c>
      <c r="K7" s="65">
        <v>6.53</v>
      </c>
      <c r="L7" s="65">
        <v>2.3199999999999998</v>
      </c>
      <c r="M7" s="65">
        <v>9.9</v>
      </c>
      <c r="N7" s="65">
        <v>0.38</v>
      </c>
      <c r="O7" s="65">
        <v>0</v>
      </c>
      <c r="P7" s="65">
        <v>0</v>
      </c>
      <c r="Q7" s="65">
        <v>0</v>
      </c>
      <c r="R7" s="65">
        <v>0</v>
      </c>
      <c r="S7" s="65">
        <v>9.19</v>
      </c>
      <c r="T7" s="65">
        <v>47.61</v>
      </c>
      <c r="U7" s="65">
        <f>(E6+E7)/2*$D$7</f>
        <v>21.98</v>
      </c>
      <c r="V7" s="65">
        <f t="shared" ref="V7:Z7" si="6">(F6+F7)/2*$D$7</f>
        <v>253.51</v>
      </c>
      <c r="W7" s="65">
        <v>0</v>
      </c>
      <c r="X7" s="65">
        <f t="shared" si="6"/>
        <v>203.06</v>
      </c>
      <c r="Y7" s="65">
        <f t="shared" si="6"/>
        <v>26.28</v>
      </c>
      <c r="Z7" s="65">
        <f t="shared" si="6"/>
        <v>13.01</v>
      </c>
      <c r="AA7" s="65">
        <f>(K6+K7)/2*2.4</f>
        <v>15.37</v>
      </c>
      <c r="AB7" s="65">
        <f t="shared" ref="AB7:AD7" si="7">(L6+L7)/2*2.4</f>
        <v>5.78</v>
      </c>
      <c r="AC7" s="65">
        <f t="shared" si="7"/>
        <v>21.06</v>
      </c>
      <c r="AD7" s="65">
        <f t="shared" si="7"/>
        <v>0.86</v>
      </c>
      <c r="AE7" s="65">
        <f>(O6+O7)/2*$D$7</f>
        <v>0</v>
      </c>
      <c r="AF7" s="65">
        <f t="shared" ref="AF7:AH7" si="8">(P6+P7)/2*$D$7</f>
        <v>0</v>
      </c>
      <c r="AG7" s="65">
        <f t="shared" si="8"/>
        <v>0</v>
      </c>
      <c r="AH7" s="65">
        <f t="shared" si="8"/>
        <v>0</v>
      </c>
      <c r="AI7" s="65">
        <f>(S6+S7)/2*$D$7</f>
        <v>16.95</v>
      </c>
      <c r="AJ7" s="65">
        <f>(T6+T7)/2*$D$7</f>
        <v>82.81</v>
      </c>
      <c r="AK7" s="61"/>
      <c r="AL7" s="62"/>
      <c r="AM7" s="74"/>
      <c r="AN7" s="74"/>
      <c r="AO7" s="74"/>
      <c r="AP7" s="62"/>
      <c r="AQ7" s="126"/>
      <c r="AR7" s="126"/>
    </row>
    <row r="8" spans="1:44">
      <c r="A8" s="58">
        <v>5</v>
      </c>
      <c r="B8" s="59" t="s">
        <v>119</v>
      </c>
      <c r="C8" s="60">
        <v>794.06399999999996</v>
      </c>
      <c r="D8" s="65">
        <f t="shared" si="3"/>
        <v>4.91</v>
      </c>
      <c r="E8" s="65">
        <v>3.47</v>
      </c>
      <c r="F8" s="65">
        <v>47.2</v>
      </c>
      <c r="G8" s="65">
        <v>0</v>
      </c>
      <c r="H8" s="65">
        <v>133.30000000000001</v>
      </c>
      <c r="I8" s="65">
        <v>11.03</v>
      </c>
      <c r="J8" s="65">
        <v>5.37</v>
      </c>
      <c r="K8" s="65">
        <v>0</v>
      </c>
      <c r="L8" s="65">
        <v>0</v>
      </c>
      <c r="M8" s="65">
        <v>0</v>
      </c>
      <c r="N8" s="65">
        <v>0</v>
      </c>
      <c r="O8" s="65">
        <v>0</v>
      </c>
      <c r="P8" s="65">
        <v>0</v>
      </c>
      <c r="Q8" s="65">
        <v>0</v>
      </c>
      <c r="R8" s="65">
        <v>0</v>
      </c>
      <c r="S8" s="65">
        <v>0</v>
      </c>
      <c r="T8" s="65">
        <v>29.62</v>
      </c>
      <c r="U8" s="65">
        <f>(E7+E8)/2*$D$8</f>
        <v>39.35</v>
      </c>
      <c r="V8" s="65">
        <f t="shared" ref="V8:AJ8" si="9">(F7+F8)/2*$D$8</f>
        <v>458.13</v>
      </c>
      <c r="W8" s="65">
        <f t="shared" si="9"/>
        <v>0</v>
      </c>
      <c r="X8" s="65">
        <f t="shared" si="9"/>
        <v>636.63</v>
      </c>
      <c r="Y8" s="65">
        <f t="shared" si="9"/>
        <v>64.22</v>
      </c>
      <c r="Z8" s="65">
        <f t="shared" si="9"/>
        <v>31.37</v>
      </c>
      <c r="AA8" s="65">
        <v>0</v>
      </c>
      <c r="AB8" s="65">
        <v>0</v>
      </c>
      <c r="AC8" s="65">
        <v>0</v>
      </c>
      <c r="AD8" s="65">
        <v>0</v>
      </c>
      <c r="AE8" s="65">
        <f t="shared" si="9"/>
        <v>0</v>
      </c>
      <c r="AF8" s="65">
        <f t="shared" si="9"/>
        <v>0</v>
      </c>
      <c r="AG8" s="65">
        <f t="shared" si="9"/>
        <v>0</v>
      </c>
      <c r="AH8" s="65">
        <f t="shared" si="9"/>
        <v>0</v>
      </c>
      <c r="AI8" s="65">
        <v>0</v>
      </c>
      <c r="AJ8" s="65">
        <f t="shared" si="9"/>
        <v>189.6</v>
      </c>
      <c r="AK8" s="61"/>
      <c r="AL8" s="62"/>
      <c r="AM8" s="74"/>
      <c r="AN8" s="74"/>
      <c r="AO8" s="74"/>
      <c r="AP8" s="62"/>
      <c r="AQ8" s="126"/>
      <c r="AR8" s="126"/>
    </row>
    <row r="9" spans="1:44">
      <c r="A9" s="58">
        <v>6</v>
      </c>
      <c r="B9" s="59" t="s">
        <v>120</v>
      </c>
      <c r="C9" s="60">
        <v>795.93600000000004</v>
      </c>
      <c r="D9" s="65">
        <f t="shared" si="3"/>
        <v>1.87</v>
      </c>
      <c r="E9" s="65">
        <v>3.16</v>
      </c>
      <c r="F9" s="65">
        <v>50.92</v>
      </c>
      <c r="G9" s="65">
        <v>0</v>
      </c>
      <c r="H9" s="65">
        <v>112.1</v>
      </c>
      <c r="I9" s="65">
        <v>9.08</v>
      </c>
      <c r="J9" s="65">
        <v>4.53</v>
      </c>
      <c r="K9" s="65">
        <v>0</v>
      </c>
      <c r="L9" s="65">
        <v>0</v>
      </c>
      <c r="M9" s="65">
        <v>0</v>
      </c>
      <c r="N9" s="65">
        <v>0</v>
      </c>
      <c r="O9" s="65">
        <v>2.81</v>
      </c>
      <c r="P9" s="65">
        <v>1.95</v>
      </c>
      <c r="Q9" s="65">
        <v>0.72</v>
      </c>
      <c r="R9" s="65">
        <v>0.11</v>
      </c>
      <c r="S9" s="65">
        <v>13.36</v>
      </c>
      <c r="T9" s="65">
        <v>28.7</v>
      </c>
      <c r="U9" s="65">
        <f>(E8+E9)/2*$D$9</f>
        <v>6.2</v>
      </c>
      <c r="V9" s="65">
        <f>(F8+F9)/2*$D$9</f>
        <v>91.74</v>
      </c>
      <c r="W9" s="65">
        <f t="shared" ref="W9:AJ9" si="10">(G8+G9)/2*$D$9</f>
        <v>0</v>
      </c>
      <c r="X9" s="65">
        <f t="shared" si="10"/>
        <v>229.45</v>
      </c>
      <c r="Y9" s="65">
        <f t="shared" si="10"/>
        <v>18.8</v>
      </c>
      <c r="Z9" s="65">
        <f t="shared" si="10"/>
        <v>9.26</v>
      </c>
      <c r="AA9" s="65">
        <f t="shared" si="10"/>
        <v>0</v>
      </c>
      <c r="AB9" s="65">
        <f t="shared" si="10"/>
        <v>0</v>
      </c>
      <c r="AC9" s="65">
        <f t="shared" si="10"/>
        <v>0</v>
      </c>
      <c r="AD9" s="65">
        <f t="shared" si="10"/>
        <v>0</v>
      </c>
      <c r="AE9" s="65">
        <v>0</v>
      </c>
      <c r="AF9" s="65">
        <v>0</v>
      </c>
      <c r="AG9" s="65">
        <v>0</v>
      </c>
      <c r="AH9" s="65">
        <v>0</v>
      </c>
      <c r="AI9" s="65">
        <v>0</v>
      </c>
      <c r="AJ9" s="65">
        <f t="shared" si="10"/>
        <v>54.53</v>
      </c>
      <c r="AK9" s="61"/>
      <c r="AL9" s="62"/>
      <c r="AM9" s="74"/>
      <c r="AN9" s="74"/>
      <c r="AO9" s="74"/>
      <c r="AP9" s="62"/>
      <c r="AQ9" s="63"/>
      <c r="AR9" s="63"/>
    </row>
    <row r="10" spans="1:44">
      <c r="A10" s="58">
        <v>7</v>
      </c>
      <c r="B10" s="59" t="s">
        <v>121</v>
      </c>
      <c r="C10" s="60">
        <v>797.50099999999998</v>
      </c>
      <c r="D10" s="65">
        <f t="shared" si="3"/>
        <v>1.56</v>
      </c>
      <c r="E10" s="65">
        <v>3.15</v>
      </c>
      <c r="F10" s="65">
        <v>49.14</v>
      </c>
      <c r="G10" s="65">
        <v>0</v>
      </c>
      <c r="H10" s="65">
        <v>105.83</v>
      </c>
      <c r="I10" s="65">
        <v>7.75</v>
      </c>
      <c r="J10" s="65">
        <v>3.87</v>
      </c>
      <c r="K10" s="65">
        <v>0</v>
      </c>
      <c r="L10" s="65">
        <v>0</v>
      </c>
      <c r="M10" s="65">
        <v>0</v>
      </c>
      <c r="N10" s="65">
        <v>0</v>
      </c>
      <c r="O10" s="65">
        <v>2.81</v>
      </c>
      <c r="P10" s="65">
        <v>1.95</v>
      </c>
      <c r="Q10" s="65">
        <v>0.72</v>
      </c>
      <c r="R10" s="65">
        <v>0.11</v>
      </c>
      <c r="S10" s="65">
        <v>13.26</v>
      </c>
      <c r="T10" s="65">
        <v>24.44</v>
      </c>
      <c r="U10" s="65">
        <f>(E9+E10)/2*$D$10</f>
        <v>4.92</v>
      </c>
      <c r="V10" s="65">
        <f t="shared" ref="V10:AJ10" si="11">(F9+F10)/2*$D$10</f>
        <v>78.05</v>
      </c>
      <c r="W10" s="65">
        <f t="shared" si="11"/>
        <v>0</v>
      </c>
      <c r="X10" s="65">
        <f t="shared" si="11"/>
        <v>169.99</v>
      </c>
      <c r="Y10" s="65">
        <f t="shared" si="11"/>
        <v>13.13</v>
      </c>
      <c r="Z10" s="65">
        <f t="shared" si="11"/>
        <v>6.55</v>
      </c>
      <c r="AA10" s="65">
        <f t="shared" si="11"/>
        <v>0</v>
      </c>
      <c r="AB10" s="65">
        <f t="shared" si="11"/>
        <v>0</v>
      </c>
      <c r="AC10" s="65">
        <f t="shared" si="11"/>
        <v>0</v>
      </c>
      <c r="AD10" s="65">
        <f t="shared" si="11"/>
        <v>0</v>
      </c>
      <c r="AE10" s="65">
        <f t="shared" si="11"/>
        <v>4.38</v>
      </c>
      <c r="AF10" s="65">
        <f t="shared" si="11"/>
        <v>3.04</v>
      </c>
      <c r="AG10" s="65">
        <f t="shared" si="11"/>
        <v>1.1200000000000001</v>
      </c>
      <c r="AH10" s="65">
        <f t="shared" si="11"/>
        <v>0.17</v>
      </c>
      <c r="AI10" s="65">
        <f t="shared" si="11"/>
        <v>20.76</v>
      </c>
      <c r="AJ10" s="65">
        <f t="shared" si="11"/>
        <v>41.45</v>
      </c>
      <c r="AK10" s="61"/>
      <c r="AL10" s="62"/>
      <c r="AM10" s="74"/>
      <c r="AN10" s="74"/>
      <c r="AO10" s="74"/>
      <c r="AP10" s="62"/>
      <c r="AQ10" s="63"/>
      <c r="AR10" s="63"/>
    </row>
    <row r="11" spans="1:44">
      <c r="A11" s="58">
        <v>8</v>
      </c>
      <c r="B11" s="59" t="s">
        <v>144</v>
      </c>
      <c r="C11" s="60">
        <v>805.99199999999996</v>
      </c>
      <c r="D11" s="65">
        <f t="shared" si="3"/>
        <v>8.49</v>
      </c>
      <c r="E11" s="65">
        <v>3.34</v>
      </c>
      <c r="F11" s="65">
        <v>50.49</v>
      </c>
      <c r="G11" s="65">
        <v>0</v>
      </c>
      <c r="H11" s="65">
        <v>0</v>
      </c>
      <c r="I11" s="65">
        <v>0</v>
      </c>
      <c r="J11" s="65">
        <v>0</v>
      </c>
      <c r="K11" s="65">
        <v>0</v>
      </c>
      <c r="L11" s="65">
        <v>0</v>
      </c>
      <c r="M11" s="65">
        <v>0</v>
      </c>
      <c r="N11" s="65">
        <v>0</v>
      </c>
      <c r="O11" s="65">
        <v>1.61</v>
      </c>
      <c r="P11" s="65">
        <v>1.03</v>
      </c>
      <c r="Q11" s="65">
        <v>0.72</v>
      </c>
      <c r="R11" s="65">
        <v>0.11</v>
      </c>
      <c r="S11" s="65">
        <v>12.98</v>
      </c>
      <c r="T11" s="65">
        <v>14.05</v>
      </c>
      <c r="U11" s="65">
        <f>(E10+E11)/2*$D$11</f>
        <v>27.55</v>
      </c>
      <c r="V11" s="65">
        <f t="shared" ref="V11:AJ11" si="12">(F10+F11)/2*$D$11</f>
        <v>422.93</v>
      </c>
      <c r="W11" s="65">
        <f t="shared" si="12"/>
        <v>0</v>
      </c>
      <c r="X11" s="65">
        <f t="shared" si="12"/>
        <v>449.25</v>
      </c>
      <c r="Y11" s="65">
        <f t="shared" si="12"/>
        <v>32.9</v>
      </c>
      <c r="Z11" s="65">
        <f t="shared" si="12"/>
        <v>16.43</v>
      </c>
      <c r="AA11" s="65">
        <f t="shared" si="12"/>
        <v>0</v>
      </c>
      <c r="AB11" s="65">
        <f t="shared" si="12"/>
        <v>0</v>
      </c>
      <c r="AC11" s="65">
        <f t="shared" si="12"/>
        <v>0</v>
      </c>
      <c r="AD11" s="65">
        <f t="shared" si="12"/>
        <v>0</v>
      </c>
      <c r="AE11" s="65">
        <f t="shared" si="12"/>
        <v>18.760000000000002</v>
      </c>
      <c r="AF11" s="65">
        <f t="shared" si="12"/>
        <v>12.65</v>
      </c>
      <c r="AG11" s="65">
        <f t="shared" si="12"/>
        <v>6.11</v>
      </c>
      <c r="AH11" s="65">
        <f t="shared" si="12"/>
        <v>0.93</v>
      </c>
      <c r="AI11" s="65">
        <f t="shared" si="12"/>
        <v>111.39</v>
      </c>
      <c r="AJ11" s="65">
        <f t="shared" si="12"/>
        <v>163.38999999999999</v>
      </c>
      <c r="AK11" s="61"/>
      <c r="AL11" s="62"/>
      <c r="AM11" s="74"/>
      <c r="AN11" s="74"/>
      <c r="AO11" s="74"/>
      <c r="AP11" s="62"/>
      <c r="AQ11" s="63"/>
      <c r="AR11" s="63"/>
    </row>
    <row r="12" spans="1:44">
      <c r="A12" s="58">
        <v>9</v>
      </c>
      <c r="B12" s="59" t="s">
        <v>131</v>
      </c>
      <c r="C12" s="127"/>
      <c r="D12" s="128"/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/>
      <c r="Q12" s="128"/>
      <c r="R12" s="128"/>
      <c r="S12" s="128"/>
      <c r="T12" s="64"/>
      <c r="U12" s="75">
        <f>SUM(U5:U11)</f>
        <v>100</v>
      </c>
      <c r="V12" s="75">
        <f t="shared" ref="V12:AJ12" si="13">SUM(V5:V11)</f>
        <v>1304.3599999999999</v>
      </c>
      <c r="W12" s="75">
        <f t="shared" si="13"/>
        <v>479.71</v>
      </c>
      <c r="X12" s="75">
        <f t="shared" si="13"/>
        <v>1688.38</v>
      </c>
      <c r="Y12" s="75">
        <f t="shared" si="13"/>
        <v>155.33000000000001</v>
      </c>
      <c r="Z12" s="75">
        <f t="shared" si="13"/>
        <v>76.62</v>
      </c>
      <c r="AA12" s="75">
        <f t="shared" si="13"/>
        <v>63.54</v>
      </c>
      <c r="AB12" s="75">
        <f t="shared" si="13"/>
        <v>25.64</v>
      </c>
      <c r="AC12" s="75">
        <f t="shared" si="13"/>
        <v>72.650000000000006</v>
      </c>
      <c r="AD12" s="75">
        <f t="shared" si="13"/>
        <v>3.67</v>
      </c>
      <c r="AE12" s="75">
        <f t="shared" si="13"/>
        <v>23.14</v>
      </c>
      <c r="AF12" s="75">
        <f t="shared" si="13"/>
        <v>15.69</v>
      </c>
      <c r="AG12" s="75">
        <f t="shared" si="13"/>
        <v>7.23</v>
      </c>
      <c r="AH12" s="75">
        <f t="shared" si="13"/>
        <v>1.1000000000000001</v>
      </c>
      <c r="AI12" s="75">
        <f t="shared" si="13"/>
        <v>269.39</v>
      </c>
      <c r="AJ12" s="75">
        <f t="shared" si="13"/>
        <v>531.78</v>
      </c>
      <c r="AK12" s="61"/>
      <c r="AL12" s="62"/>
      <c r="AM12" s="74"/>
      <c r="AN12" s="74"/>
      <c r="AO12" s="74"/>
      <c r="AP12" s="62"/>
      <c r="AQ12" s="126"/>
      <c r="AR12" s="126"/>
    </row>
    <row r="13" spans="1:44">
      <c r="A13" s="58"/>
      <c r="B13" s="131"/>
      <c r="C13" s="132"/>
      <c r="D13" s="132"/>
      <c r="E13" s="132"/>
      <c r="F13" s="132"/>
      <c r="G13" s="132"/>
      <c r="H13" s="132"/>
      <c r="I13" s="132"/>
      <c r="J13" s="132"/>
      <c r="K13" s="132"/>
      <c r="L13" s="132"/>
      <c r="M13" s="132"/>
      <c r="N13" s="132"/>
      <c r="O13" s="132"/>
      <c r="P13" s="132"/>
      <c r="Q13" s="132"/>
      <c r="R13" s="132"/>
      <c r="S13" s="132"/>
      <c r="T13" s="132"/>
      <c r="U13" s="132"/>
      <c r="V13" s="132"/>
      <c r="W13" s="132"/>
      <c r="X13" s="132"/>
      <c r="Y13" s="132"/>
      <c r="Z13" s="132"/>
      <c r="AA13" s="132"/>
      <c r="AB13" s="132"/>
      <c r="AC13" s="132"/>
      <c r="AD13" s="132"/>
      <c r="AE13" s="132"/>
      <c r="AF13" s="132"/>
      <c r="AG13" s="132"/>
      <c r="AH13" s="132"/>
      <c r="AI13" s="132"/>
      <c r="AJ13" s="133"/>
      <c r="AK13" s="61"/>
      <c r="AL13" s="62"/>
      <c r="AM13" s="74"/>
      <c r="AN13" s="74"/>
      <c r="AO13" s="74"/>
      <c r="AP13" s="62"/>
      <c r="AQ13" s="126"/>
      <c r="AR13" s="126"/>
    </row>
    <row r="14" spans="1:44">
      <c r="A14" s="58">
        <v>10</v>
      </c>
      <c r="B14" s="59" t="s">
        <v>145</v>
      </c>
      <c r="C14" s="60">
        <v>820.87</v>
      </c>
      <c r="D14" s="65"/>
      <c r="E14" s="65">
        <v>4.46</v>
      </c>
      <c r="F14" s="65">
        <v>69.37</v>
      </c>
      <c r="G14" s="65">
        <v>0</v>
      </c>
      <c r="H14" s="65">
        <v>0</v>
      </c>
      <c r="I14" s="65">
        <v>0</v>
      </c>
      <c r="J14" s="65">
        <v>0</v>
      </c>
      <c r="K14" s="65">
        <v>0</v>
      </c>
      <c r="L14" s="65">
        <v>0</v>
      </c>
      <c r="M14" s="65">
        <v>0</v>
      </c>
      <c r="N14" s="65">
        <v>0</v>
      </c>
      <c r="O14" s="65">
        <v>1.65</v>
      </c>
      <c r="P14" s="65">
        <v>1.05</v>
      </c>
      <c r="Q14" s="65">
        <v>0.72</v>
      </c>
      <c r="R14" s="65">
        <v>0.11</v>
      </c>
      <c r="S14" s="65">
        <v>16.96</v>
      </c>
      <c r="T14" s="65">
        <v>18</v>
      </c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H14" s="65"/>
      <c r="AI14" s="65"/>
      <c r="AJ14" s="76"/>
      <c r="AK14" s="61"/>
      <c r="AL14" s="62"/>
      <c r="AM14" s="74"/>
      <c r="AN14" s="74"/>
      <c r="AO14" s="74"/>
      <c r="AP14" s="62"/>
      <c r="AQ14" s="129"/>
      <c r="AR14" s="130"/>
    </row>
    <row r="15" spans="1:44">
      <c r="A15" s="58">
        <v>11</v>
      </c>
      <c r="B15" s="59" t="s">
        <v>146</v>
      </c>
      <c r="C15" s="60">
        <v>829.60299999999995</v>
      </c>
      <c r="D15" s="65">
        <f>C15-C14</f>
        <v>8.73</v>
      </c>
      <c r="E15" s="65">
        <v>4.5599999999999996</v>
      </c>
      <c r="F15" s="65">
        <v>58.43</v>
      </c>
      <c r="G15" s="65">
        <v>0</v>
      </c>
      <c r="H15" s="65">
        <v>118.75</v>
      </c>
      <c r="I15" s="65">
        <v>7.75</v>
      </c>
      <c r="J15" s="65">
        <v>3.86</v>
      </c>
      <c r="K15" s="65">
        <v>0</v>
      </c>
      <c r="L15" s="65">
        <v>0</v>
      </c>
      <c r="M15" s="65">
        <v>0</v>
      </c>
      <c r="N15" s="65">
        <v>0</v>
      </c>
      <c r="O15" s="65">
        <v>2.52</v>
      </c>
      <c r="P15" s="65">
        <v>1.71</v>
      </c>
      <c r="Q15" s="65">
        <v>0.72</v>
      </c>
      <c r="R15" s="65">
        <v>0.11</v>
      </c>
      <c r="S15" s="65">
        <v>18.399999999999999</v>
      </c>
      <c r="T15" s="65">
        <v>30.96</v>
      </c>
      <c r="U15" s="65">
        <f>(E14+E15)/2*$D$15</f>
        <v>39.369999999999997</v>
      </c>
      <c r="V15" s="65">
        <f t="shared" ref="V15:AJ15" si="14">(F14+F15)/2*$D$15</f>
        <v>557.85</v>
      </c>
      <c r="W15" s="65">
        <f t="shared" si="14"/>
        <v>0</v>
      </c>
      <c r="X15" s="65">
        <f t="shared" si="14"/>
        <v>518.34</v>
      </c>
      <c r="Y15" s="65">
        <f t="shared" si="14"/>
        <v>33.83</v>
      </c>
      <c r="Z15" s="65">
        <f t="shared" si="14"/>
        <v>16.850000000000001</v>
      </c>
      <c r="AA15" s="65">
        <f t="shared" si="14"/>
        <v>0</v>
      </c>
      <c r="AB15" s="65">
        <f t="shared" si="14"/>
        <v>0</v>
      </c>
      <c r="AC15" s="65">
        <f t="shared" si="14"/>
        <v>0</v>
      </c>
      <c r="AD15" s="65">
        <f t="shared" si="14"/>
        <v>0</v>
      </c>
      <c r="AE15" s="65">
        <f t="shared" si="14"/>
        <v>18.2</v>
      </c>
      <c r="AF15" s="65">
        <f t="shared" si="14"/>
        <v>12.05</v>
      </c>
      <c r="AG15" s="65">
        <f t="shared" si="14"/>
        <v>6.29</v>
      </c>
      <c r="AH15" s="65">
        <f t="shared" si="14"/>
        <v>0.96</v>
      </c>
      <c r="AI15" s="65">
        <f t="shared" si="14"/>
        <v>154.35</v>
      </c>
      <c r="AJ15" s="65">
        <f t="shared" si="14"/>
        <v>213.71</v>
      </c>
      <c r="AK15" s="61"/>
      <c r="AL15" s="62"/>
      <c r="AM15" s="74"/>
      <c r="AN15" s="74"/>
      <c r="AO15" s="74"/>
      <c r="AP15" s="62"/>
      <c r="AQ15" s="66"/>
      <c r="AR15" s="67"/>
    </row>
    <row r="16" spans="1:44">
      <c r="A16" s="58">
        <v>12</v>
      </c>
      <c r="B16" s="59" t="s">
        <v>147</v>
      </c>
      <c r="C16" s="60">
        <v>830.87</v>
      </c>
      <c r="D16" s="65">
        <f t="shared" ref="D16:D21" si="15">C16-C15</f>
        <v>1.27</v>
      </c>
      <c r="E16" s="65">
        <v>4.58</v>
      </c>
      <c r="F16" s="65">
        <v>58.59</v>
      </c>
      <c r="G16" s="65">
        <v>0</v>
      </c>
      <c r="H16" s="65">
        <v>134.11000000000001</v>
      </c>
      <c r="I16" s="65">
        <v>7.79</v>
      </c>
      <c r="J16" s="65">
        <v>4.38</v>
      </c>
      <c r="K16" s="65">
        <v>0</v>
      </c>
      <c r="L16" s="65">
        <v>0</v>
      </c>
      <c r="M16" s="65">
        <v>0</v>
      </c>
      <c r="N16" s="65">
        <v>0</v>
      </c>
      <c r="O16" s="65">
        <v>2.64</v>
      </c>
      <c r="P16" s="65">
        <v>1.81</v>
      </c>
      <c r="Q16" s="65">
        <v>0.72</v>
      </c>
      <c r="R16" s="65">
        <v>0.11</v>
      </c>
      <c r="S16" s="65">
        <v>18.489999999999998</v>
      </c>
      <c r="T16" s="65">
        <v>32.83</v>
      </c>
      <c r="U16" s="65">
        <f>(E15+E16)/2*$D$16</f>
        <v>5.8</v>
      </c>
      <c r="V16" s="65">
        <f t="shared" ref="V16:AJ16" si="16">(F15+F16)/2*$D$16</f>
        <v>74.31</v>
      </c>
      <c r="W16" s="65">
        <f t="shared" si="16"/>
        <v>0</v>
      </c>
      <c r="X16" s="65">
        <f t="shared" si="16"/>
        <v>160.57</v>
      </c>
      <c r="Y16" s="65">
        <f t="shared" si="16"/>
        <v>9.8699999999999992</v>
      </c>
      <c r="Z16" s="65">
        <f t="shared" si="16"/>
        <v>5.23</v>
      </c>
      <c r="AA16" s="65">
        <f t="shared" si="16"/>
        <v>0</v>
      </c>
      <c r="AB16" s="65">
        <f t="shared" si="16"/>
        <v>0</v>
      </c>
      <c r="AC16" s="65">
        <f t="shared" si="16"/>
        <v>0</v>
      </c>
      <c r="AD16" s="65">
        <f t="shared" si="16"/>
        <v>0</v>
      </c>
      <c r="AE16" s="65">
        <f t="shared" si="16"/>
        <v>3.28</v>
      </c>
      <c r="AF16" s="65">
        <f t="shared" si="16"/>
        <v>2.2400000000000002</v>
      </c>
      <c r="AG16" s="65">
        <f t="shared" si="16"/>
        <v>0.91</v>
      </c>
      <c r="AH16" s="65">
        <f t="shared" si="16"/>
        <v>0.14000000000000001</v>
      </c>
      <c r="AI16" s="65">
        <f t="shared" si="16"/>
        <v>23.43</v>
      </c>
      <c r="AJ16" s="65">
        <f t="shared" si="16"/>
        <v>40.51</v>
      </c>
      <c r="AK16" s="61"/>
      <c r="AL16" s="62"/>
      <c r="AM16" s="74"/>
      <c r="AN16" s="74"/>
      <c r="AO16" s="74"/>
      <c r="AP16" s="62"/>
      <c r="AQ16" s="126"/>
      <c r="AR16" s="126"/>
    </row>
    <row r="17" spans="1:44">
      <c r="A17" s="58">
        <v>13</v>
      </c>
      <c r="B17" s="59" t="s">
        <v>148</v>
      </c>
      <c r="C17" s="60">
        <v>833.26199999999994</v>
      </c>
      <c r="D17" s="65">
        <f t="shared" si="15"/>
        <v>2.39</v>
      </c>
      <c r="E17" s="65">
        <v>4.8600000000000003</v>
      </c>
      <c r="F17" s="65">
        <v>59.83</v>
      </c>
      <c r="G17" s="65">
        <v>0</v>
      </c>
      <c r="H17" s="65">
        <v>163.13</v>
      </c>
      <c r="I17" s="65">
        <v>11</v>
      </c>
      <c r="J17" s="65">
        <v>5.38</v>
      </c>
      <c r="K17" s="65">
        <v>0</v>
      </c>
      <c r="L17" s="65">
        <v>0</v>
      </c>
      <c r="M17" s="65">
        <v>0</v>
      </c>
      <c r="N17" s="65">
        <v>0</v>
      </c>
      <c r="O17" s="65">
        <v>0</v>
      </c>
      <c r="P17" s="65">
        <v>0</v>
      </c>
      <c r="Q17" s="65">
        <v>0</v>
      </c>
      <c r="R17" s="65">
        <v>0</v>
      </c>
      <c r="S17" s="65">
        <v>0</v>
      </c>
      <c r="T17" s="65">
        <v>34.270000000000003</v>
      </c>
      <c r="U17" s="65">
        <f>(E16+E17)/2*$D$17</f>
        <v>11.28</v>
      </c>
      <c r="V17" s="65">
        <f t="shared" ref="V17:AJ17" si="17">(F16+F17)/2*$D$17</f>
        <v>141.51</v>
      </c>
      <c r="W17" s="65">
        <f t="shared" si="17"/>
        <v>0</v>
      </c>
      <c r="X17" s="65">
        <f t="shared" si="17"/>
        <v>355.2</v>
      </c>
      <c r="Y17" s="65">
        <f t="shared" si="17"/>
        <v>22.45</v>
      </c>
      <c r="Z17" s="65">
        <f t="shared" si="17"/>
        <v>11.66</v>
      </c>
      <c r="AA17" s="65">
        <f t="shared" si="17"/>
        <v>0</v>
      </c>
      <c r="AB17" s="65">
        <f t="shared" si="17"/>
        <v>0</v>
      </c>
      <c r="AC17" s="65">
        <f t="shared" si="17"/>
        <v>0</v>
      </c>
      <c r="AD17" s="65">
        <f t="shared" si="17"/>
        <v>0</v>
      </c>
      <c r="AE17" s="65">
        <v>0</v>
      </c>
      <c r="AF17" s="65">
        <v>0</v>
      </c>
      <c r="AG17" s="65">
        <v>0</v>
      </c>
      <c r="AH17" s="65">
        <v>0</v>
      </c>
      <c r="AI17" s="65">
        <v>0</v>
      </c>
      <c r="AJ17" s="65">
        <f t="shared" si="17"/>
        <v>80.180000000000007</v>
      </c>
      <c r="AK17" s="61"/>
      <c r="AL17" s="62"/>
      <c r="AM17" s="74"/>
      <c r="AN17" s="74"/>
      <c r="AO17" s="74"/>
      <c r="AP17" s="62"/>
      <c r="AQ17" s="63"/>
      <c r="AR17" s="63"/>
    </row>
    <row r="18" spans="1:44">
      <c r="A18" s="58">
        <v>14</v>
      </c>
      <c r="B18" s="59" t="s">
        <v>149</v>
      </c>
      <c r="C18" s="60">
        <v>838.52</v>
      </c>
      <c r="D18" s="65">
        <f t="shared" si="15"/>
        <v>5.26</v>
      </c>
      <c r="E18" s="65">
        <v>9.48</v>
      </c>
      <c r="F18" s="65">
        <v>113.27</v>
      </c>
      <c r="G18" s="65">
        <v>0</v>
      </c>
      <c r="H18" s="65">
        <v>126.02</v>
      </c>
      <c r="I18" s="65">
        <v>14.91</v>
      </c>
      <c r="J18" s="65">
        <v>7.32</v>
      </c>
      <c r="K18" s="65">
        <v>3.68</v>
      </c>
      <c r="L18" s="65">
        <v>1.22</v>
      </c>
      <c r="M18" s="65">
        <v>4.46</v>
      </c>
      <c r="N18" s="65">
        <v>0.27</v>
      </c>
      <c r="O18" s="65">
        <v>0</v>
      </c>
      <c r="P18" s="65">
        <v>0</v>
      </c>
      <c r="Q18" s="65">
        <v>0</v>
      </c>
      <c r="R18" s="65">
        <v>0</v>
      </c>
      <c r="S18" s="65">
        <v>9.57</v>
      </c>
      <c r="T18" s="65">
        <v>52.4</v>
      </c>
      <c r="U18" s="65">
        <f>(E17+E18)/2*$D$18</f>
        <v>37.71</v>
      </c>
      <c r="V18" s="65">
        <f t="shared" ref="V18:AJ18" si="18">(F17+F18)/2*$D$18</f>
        <v>455.25</v>
      </c>
      <c r="W18" s="65">
        <f t="shared" si="18"/>
        <v>0</v>
      </c>
      <c r="X18" s="65">
        <f t="shared" si="18"/>
        <v>760.46</v>
      </c>
      <c r="Y18" s="65">
        <f t="shared" si="18"/>
        <v>68.14</v>
      </c>
      <c r="Z18" s="65">
        <f t="shared" si="18"/>
        <v>33.4</v>
      </c>
      <c r="AA18" s="65">
        <v>0</v>
      </c>
      <c r="AB18" s="65">
        <v>0</v>
      </c>
      <c r="AC18" s="65">
        <v>0</v>
      </c>
      <c r="AD18" s="65">
        <v>0</v>
      </c>
      <c r="AE18" s="65">
        <f t="shared" si="18"/>
        <v>0</v>
      </c>
      <c r="AF18" s="65">
        <f t="shared" si="18"/>
        <v>0</v>
      </c>
      <c r="AG18" s="65">
        <f t="shared" si="18"/>
        <v>0</v>
      </c>
      <c r="AH18" s="65">
        <f t="shared" si="18"/>
        <v>0</v>
      </c>
      <c r="AI18" s="65">
        <v>0</v>
      </c>
      <c r="AJ18" s="65">
        <f t="shared" si="18"/>
        <v>227.94</v>
      </c>
      <c r="AK18" s="61"/>
      <c r="AL18" s="62"/>
      <c r="AM18" s="74"/>
      <c r="AN18" s="74"/>
      <c r="AO18" s="74"/>
      <c r="AP18" s="62"/>
      <c r="AQ18" s="126"/>
      <c r="AR18" s="126"/>
    </row>
    <row r="19" spans="1:44">
      <c r="A19" s="58">
        <v>15</v>
      </c>
      <c r="B19" s="59" t="s">
        <v>150</v>
      </c>
      <c r="C19" s="60">
        <v>839.54</v>
      </c>
      <c r="D19" s="65">
        <f t="shared" si="15"/>
        <v>1.02</v>
      </c>
      <c r="E19" s="65">
        <v>14.61</v>
      </c>
      <c r="F19" s="65">
        <v>116.21</v>
      </c>
      <c r="G19" s="65">
        <v>126.02</v>
      </c>
      <c r="H19" s="65">
        <v>126.02</v>
      </c>
      <c r="I19" s="65">
        <v>15.7</v>
      </c>
      <c r="J19" s="65">
        <v>7.83</v>
      </c>
      <c r="K19" s="65">
        <v>4.76</v>
      </c>
      <c r="L19" s="65">
        <v>1.91</v>
      </c>
      <c r="M19" s="65">
        <v>4.26</v>
      </c>
      <c r="N19" s="65">
        <v>0.27</v>
      </c>
      <c r="O19" s="65">
        <v>0</v>
      </c>
      <c r="P19" s="65">
        <v>0</v>
      </c>
      <c r="Q19" s="65">
        <v>0</v>
      </c>
      <c r="R19" s="65">
        <v>0</v>
      </c>
      <c r="S19" s="65">
        <v>10.35</v>
      </c>
      <c r="T19" s="65">
        <v>53.15</v>
      </c>
      <c r="U19" s="65">
        <f>(E18+E19)/2*$D$19</f>
        <v>12.29</v>
      </c>
      <c r="V19" s="65">
        <f t="shared" ref="V19:AJ19" si="19">(F18+F19)/2*$D$19</f>
        <v>117.03</v>
      </c>
      <c r="W19" s="65">
        <v>0</v>
      </c>
      <c r="X19" s="65">
        <f t="shared" si="19"/>
        <v>128.54</v>
      </c>
      <c r="Y19" s="65">
        <f t="shared" si="19"/>
        <v>15.61</v>
      </c>
      <c r="Z19" s="65">
        <f t="shared" si="19"/>
        <v>7.73</v>
      </c>
      <c r="AA19" s="65">
        <f>(K18+K19)/2*1.2</f>
        <v>5.0599999999999996</v>
      </c>
      <c r="AB19" s="65">
        <f t="shared" ref="AB19:AD19" si="20">(L18+L19)/2*1.2</f>
        <v>1.88</v>
      </c>
      <c r="AC19" s="65">
        <f t="shared" si="20"/>
        <v>5.23</v>
      </c>
      <c r="AD19" s="65">
        <f t="shared" si="20"/>
        <v>0.32</v>
      </c>
      <c r="AE19" s="65">
        <f t="shared" si="19"/>
        <v>0</v>
      </c>
      <c r="AF19" s="65">
        <f t="shared" si="19"/>
        <v>0</v>
      </c>
      <c r="AG19" s="65">
        <f t="shared" si="19"/>
        <v>0</v>
      </c>
      <c r="AH19" s="65">
        <f t="shared" si="19"/>
        <v>0</v>
      </c>
      <c r="AI19" s="65">
        <f t="shared" si="19"/>
        <v>10.16</v>
      </c>
      <c r="AJ19" s="65">
        <f t="shared" si="19"/>
        <v>53.83</v>
      </c>
      <c r="AK19" s="61"/>
      <c r="AL19" s="62"/>
      <c r="AM19" s="74"/>
      <c r="AN19" s="74"/>
      <c r="AO19" s="74"/>
      <c r="AP19" s="62"/>
      <c r="AQ19" s="63"/>
      <c r="AR19" s="63"/>
    </row>
    <row r="20" spans="1:44">
      <c r="A20" s="58">
        <v>16</v>
      </c>
      <c r="B20" s="59" t="s">
        <v>151</v>
      </c>
      <c r="C20" s="60">
        <v>848.52</v>
      </c>
      <c r="D20" s="65">
        <f t="shared" si="15"/>
        <v>8.98</v>
      </c>
      <c r="E20" s="65">
        <v>0</v>
      </c>
      <c r="F20" s="65">
        <v>0</v>
      </c>
      <c r="G20" s="65">
        <v>29.5</v>
      </c>
      <c r="H20" s="65">
        <v>0</v>
      </c>
      <c r="I20" s="65">
        <v>0</v>
      </c>
      <c r="J20" s="65">
        <v>0</v>
      </c>
      <c r="K20" s="65">
        <v>7.22</v>
      </c>
      <c r="L20" s="65">
        <v>4.96</v>
      </c>
      <c r="M20" s="65">
        <v>2.2599999999999998</v>
      </c>
      <c r="N20" s="65">
        <v>0.21</v>
      </c>
      <c r="O20" s="65">
        <v>0</v>
      </c>
      <c r="P20" s="65">
        <v>0</v>
      </c>
      <c r="Q20" s="65">
        <v>0</v>
      </c>
      <c r="R20" s="65">
        <v>0</v>
      </c>
      <c r="S20" s="65">
        <v>14.76</v>
      </c>
      <c r="T20" s="65">
        <v>0</v>
      </c>
      <c r="U20" s="65">
        <v>0</v>
      </c>
      <c r="V20" s="65">
        <v>0</v>
      </c>
      <c r="W20" s="65">
        <f t="shared" ref="W20:AI20" si="21">(G19+G20)/2*$D$20</f>
        <v>698.28</v>
      </c>
      <c r="X20" s="65">
        <v>0</v>
      </c>
      <c r="Y20" s="65">
        <v>0</v>
      </c>
      <c r="Z20" s="65">
        <v>0</v>
      </c>
      <c r="AA20" s="65">
        <f>(K19+K20)/2*9.74</f>
        <v>58.34</v>
      </c>
      <c r="AB20" s="65">
        <f t="shared" ref="AB20:AE20" si="22">(L19+L20)/2*9.74</f>
        <v>33.46</v>
      </c>
      <c r="AC20" s="65">
        <f t="shared" si="22"/>
        <v>31.75</v>
      </c>
      <c r="AD20" s="65">
        <f t="shared" si="22"/>
        <v>2.34</v>
      </c>
      <c r="AE20" s="65">
        <f t="shared" si="22"/>
        <v>0</v>
      </c>
      <c r="AF20" s="65">
        <f t="shared" si="21"/>
        <v>0</v>
      </c>
      <c r="AG20" s="65">
        <f t="shared" si="21"/>
        <v>0</v>
      </c>
      <c r="AH20" s="65">
        <f t="shared" si="21"/>
        <v>0</v>
      </c>
      <c r="AI20" s="65">
        <f t="shared" si="21"/>
        <v>112.74</v>
      </c>
      <c r="AJ20" s="65">
        <v>0</v>
      </c>
      <c r="AK20" s="61"/>
      <c r="AL20" s="62"/>
      <c r="AM20" s="74"/>
      <c r="AN20" s="74"/>
      <c r="AO20" s="74"/>
      <c r="AP20" s="62"/>
      <c r="AQ20" s="126"/>
      <c r="AR20" s="126"/>
    </row>
    <row r="21" spans="1:44">
      <c r="A21" s="58">
        <v>17</v>
      </c>
      <c r="B21" s="59" t="s">
        <v>152</v>
      </c>
      <c r="C21" s="60">
        <v>850.79100000000005</v>
      </c>
      <c r="D21" s="65">
        <f t="shared" si="15"/>
        <v>2.27</v>
      </c>
      <c r="E21" s="65">
        <v>0</v>
      </c>
      <c r="F21" s="65">
        <v>0</v>
      </c>
      <c r="G21" s="65">
        <v>0</v>
      </c>
      <c r="H21" s="65">
        <v>0</v>
      </c>
      <c r="I21" s="65">
        <v>0</v>
      </c>
      <c r="J21" s="65">
        <v>0</v>
      </c>
      <c r="K21" s="65">
        <v>0</v>
      </c>
      <c r="L21" s="65">
        <v>0</v>
      </c>
      <c r="M21" s="65">
        <v>0</v>
      </c>
      <c r="N21" s="65">
        <v>0</v>
      </c>
      <c r="O21" s="65">
        <v>0</v>
      </c>
      <c r="P21" s="65">
        <v>0</v>
      </c>
      <c r="Q21" s="65">
        <v>0</v>
      </c>
      <c r="R21" s="65">
        <v>0</v>
      </c>
      <c r="S21" s="65">
        <v>0</v>
      </c>
      <c r="T21" s="65">
        <v>0</v>
      </c>
      <c r="U21" s="65">
        <f>(E20+E21)/2*$D$21</f>
        <v>0</v>
      </c>
      <c r="V21" s="65">
        <f t="shared" ref="V21:AJ21" si="23">(F20+F21)/2*$D$21</f>
        <v>0</v>
      </c>
      <c r="W21" s="65">
        <f t="shared" si="23"/>
        <v>33.479999999999997</v>
      </c>
      <c r="X21" s="65">
        <f t="shared" si="23"/>
        <v>0</v>
      </c>
      <c r="Y21" s="65">
        <f t="shared" si="23"/>
        <v>0</v>
      </c>
      <c r="Z21" s="65">
        <f t="shared" si="23"/>
        <v>0</v>
      </c>
      <c r="AA21" s="65">
        <v>0</v>
      </c>
      <c r="AB21" s="65">
        <v>0</v>
      </c>
      <c r="AC21" s="65">
        <v>0</v>
      </c>
      <c r="AD21" s="65">
        <v>0</v>
      </c>
      <c r="AE21" s="65">
        <f t="shared" si="23"/>
        <v>0</v>
      </c>
      <c r="AF21" s="65">
        <f t="shared" si="23"/>
        <v>0</v>
      </c>
      <c r="AG21" s="65">
        <f t="shared" si="23"/>
        <v>0</v>
      </c>
      <c r="AH21" s="65">
        <f t="shared" si="23"/>
        <v>0</v>
      </c>
      <c r="AI21" s="65">
        <v>0</v>
      </c>
      <c r="AJ21" s="65">
        <f t="shared" si="23"/>
        <v>0</v>
      </c>
      <c r="AK21" s="61"/>
      <c r="AL21" s="62"/>
      <c r="AM21" s="74"/>
      <c r="AN21" s="74"/>
      <c r="AO21" s="74"/>
      <c r="AP21" s="62"/>
      <c r="AQ21" s="63"/>
      <c r="AR21" s="63"/>
    </row>
    <row r="22" spans="1:44">
      <c r="A22" s="58">
        <v>18</v>
      </c>
      <c r="B22" s="59" t="s">
        <v>132</v>
      </c>
      <c r="C22" s="127"/>
      <c r="D22" s="128"/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28"/>
      <c r="Q22" s="128"/>
      <c r="R22" s="128"/>
      <c r="S22" s="128"/>
      <c r="T22" s="64"/>
      <c r="U22" s="75">
        <f>SUM(U15:U21)</f>
        <v>106.45</v>
      </c>
      <c r="V22" s="75">
        <f t="shared" ref="V22:AJ22" si="24">SUM(V15:V21)</f>
        <v>1345.95</v>
      </c>
      <c r="W22" s="75">
        <f t="shared" si="24"/>
        <v>731.76</v>
      </c>
      <c r="X22" s="75">
        <f t="shared" si="24"/>
        <v>1923.11</v>
      </c>
      <c r="Y22" s="75">
        <f t="shared" si="24"/>
        <v>149.9</v>
      </c>
      <c r="Z22" s="75">
        <f t="shared" si="24"/>
        <v>74.87</v>
      </c>
      <c r="AA22" s="75">
        <f t="shared" si="24"/>
        <v>63.4</v>
      </c>
      <c r="AB22" s="75">
        <f t="shared" si="24"/>
        <v>35.340000000000003</v>
      </c>
      <c r="AC22" s="75">
        <f t="shared" si="24"/>
        <v>36.979999999999997</v>
      </c>
      <c r="AD22" s="75">
        <f t="shared" si="24"/>
        <v>2.66</v>
      </c>
      <c r="AE22" s="75">
        <f t="shared" si="24"/>
        <v>21.48</v>
      </c>
      <c r="AF22" s="75">
        <f t="shared" si="24"/>
        <v>14.29</v>
      </c>
      <c r="AG22" s="75">
        <f t="shared" si="24"/>
        <v>7.2</v>
      </c>
      <c r="AH22" s="75">
        <f t="shared" si="24"/>
        <v>1.1000000000000001</v>
      </c>
      <c r="AI22" s="75">
        <f t="shared" si="24"/>
        <v>300.68</v>
      </c>
      <c r="AJ22" s="75">
        <f t="shared" si="24"/>
        <v>616.16999999999996</v>
      </c>
      <c r="AK22" s="61"/>
      <c r="AL22" s="62"/>
      <c r="AM22" s="74"/>
      <c r="AN22" s="74"/>
      <c r="AO22" s="74"/>
      <c r="AP22" s="62"/>
      <c r="AQ22" s="126"/>
      <c r="AR22" s="126"/>
    </row>
    <row r="23" spans="1:44">
      <c r="B23" s="77"/>
      <c r="C23" s="77"/>
      <c r="D23" s="77"/>
      <c r="E23" s="77"/>
      <c r="F23" s="77"/>
      <c r="G23" s="77"/>
      <c r="H23" s="77"/>
      <c r="I23" s="77"/>
      <c r="J23" s="77"/>
      <c r="K23" s="77"/>
      <c r="L23" s="77"/>
      <c r="M23" s="77"/>
      <c r="N23" s="77"/>
      <c r="O23" s="77"/>
      <c r="P23" s="77"/>
      <c r="Q23" s="77"/>
      <c r="R23" s="77"/>
      <c r="S23" s="77"/>
      <c r="T23" s="77"/>
      <c r="U23" s="77"/>
      <c r="V23" s="77"/>
      <c r="W23" s="77"/>
      <c r="X23" s="77"/>
      <c r="Y23" s="77"/>
      <c r="Z23" s="77"/>
      <c r="AA23" s="77"/>
      <c r="AB23" s="77"/>
      <c r="AC23" s="77"/>
      <c r="AD23" s="77"/>
      <c r="AE23" s="68"/>
      <c r="AF23" s="68"/>
      <c r="AG23" s="69"/>
      <c r="AH23" s="69"/>
      <c r="AI23" s="68"/>
      <c r="AK23" s="61"/>
      <c r="AL23" s="62"/>
      <c r="AM23" s="74"/>
      <c r="AN23" s="74"/>
      <c r="AO23" s="74"/>
      <c r="AP23" s="62"/>
      <c r="AQ23" s="126"/>
      <c r="AR23" s="126"/>
    </row>
    <row r="24" spans="1:44">
      <c r="B24" s="77"/>
      <c r="C24" s="77"/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11">
        <f>23.76*32</f>
        <v>760.32</v>
      </c>
      <c r="AH24" s="11"/>
      <c r="AI24" s="77"/>
      <c r="AK24" s="61"/>
      <c r="AL24" s="62"/>
      <c r="AM24" s="74"/>
      <c r="AN24" s="74"/>
      <c r="AO24" s="74"/>
      <c r="AP24" s="66"/>
      <c r="AQ24" s="126"/>
      <c r="AR24" s="126"/>
    </row>
    <row r="25" spans="1:44">
      <c r="B25" s="77"/>
      <c r="C25" s="77"/>
      <c r="D25" s="77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  <c r="Q25" s="77"/>
      <c r="R25" s="77"/>
      <c r="S25" s="77"/>
      <c r="T25" s="77"/>
      <c r="U25" s="77"/>
      <c r="V25" s="77"/>
      <c r="W25" s="77"/>
      <c r="X25" s="77"/>
      <c r="Y25" s="77"/>
      <c r="Z25" s="77"/>
      <c r="AA25" s="77"/>
      <c r="AB25" s="77"/>
      <c r="AC25" s="77"/>
      <c r="AD25" s="77"/>
      <c r="AE25" s="77"/>
      <c r="AF25" s="77"/>
      <c r="AG25" s="78"/>
      <c r="AH25" s="78"/>
      <c r="AI25" s="77"/>
      <c r="AK25" s="61"/>
      <c r="AL25" s="62"/>
      <c r="AM25" s="74"/>
      <c r="AN25" s="74"/>
      <c r="AO25" s="74"/>
      <c r="AP25" s="66"/>
      <c r="AQ25" s="126"/>
      <c r="AR25" s="126"/>
    </row>
    <row r="26" spans="1:44">
      <c r="AK26" s="61"/>
      <c r="AL26" s="62"/>
      <c r="AM26" s="74"/>
      <c r="AN26" s="74"/>
      <c r="AO26" s="74"/>
      <c r="AP26" s="66"/>
      <c r="AQ26" s="126"/>
      <c r="AR26" s="126"/>
    </row>
    <row r="27" spans="1:44">
      <c r="AK27" s="61"/>
      <c r="AL27" s="62"/>
      <c r="AM27" s="74"/>
      <c r="AN27" s="74"/>
      <c r="AO27" s="74"/>
      <c r="AP27" s="66"/>
      <c r="AQ27" s="126"/>
      <c r="AR27" s="126"/>
    </row>
    <row r="28" spans="1:44">
      <c r="AK28" s="61"/>
      <c r="AL28" s="62"/>
      <c r="AM28" s="74"/>
      <c r="AN28" s="74"/>
      <c r="AO28" s="74"/>
      <c r="AP28" s="66"/>
      <c r="AQ28" s="126"/>
      <c r="AR28" s="126"/>
    </row>
    <row r="29" spans="1:44">
      <c r="AK29" s="61"/>
      <c r="AL29" s="62"/>
      <c r="AM29" s="74"/>
      <c r="AN29" s="74"/>
      <c r="AO29" s="74"/>
      <c r="AP29" s="66"/>
      <c r="AQ29" s="126"/>
      <c r="AR29" s="126"/>
    </row>
    <row r="30" spans="1:44">
      <c r="AK30" s="61"/>
      <c r="AL30" s="62"/>
      <c r="AM30" s="74"/>
      <c r="AN30" s="74"/>
      <c r="AO30" s="74"/>
      <c r="AP30" s="66"/>
      <c r="AQ30" s="135"/>
      <c r="AR30" s="135"/>
    </row>
    <row r="31" spans="1:44">
      <c r="AK31" s="61"/>
      <c r="AL31" s="62"/>
      <c r="AM31" s="74"/>
      <c r="AN31" s="74"/>
      <c r="AO31" s="74"/>
      <c r="AP31" s="66"/>
      <c r="AQ31" s="126"/>
      <c r="AR31" s="126"/>
    </row>
    <row r="32" spans="1:44">
      <c r="AK32" s="61"/>
      <c r="AL32" s="62"/>
      <c r="AM32" s="74"/>
      <c r="AN32" s="74"/>
      <c r="AO32" s="74"/>
      <c r="AP32" s="66"/>
      <c r="AQ32" s="126"/>
      <c r="AR32" s="126"/>
    </row>
    <row r="33" spans="37:51">
      <c r="AK33" s="61"/>
      <c r="AL33" s="62"/>
      <c r="AM33" s="74"/>
      <c r="AN33" s="74"/>
      <c r="AO33" s="74"/>
      <c r="AP33" s="66"/>
      <c r="AQ33" s="126"/>
      <c r="AR33" s="126"/>
    </row>
    <row r="34" spans="37:51">
      <c r="AK34" s="61"/>
      <c r="AL34" s="62"/>
      <c r="AM34" s="74"/>
      <c r="AN34" s="74"/>
      <c r="AO34" s="74"/>
      <c r="AP34" s="66"/>
      <c r="AQ34" s="126"/>
      <c r="AR34" s="126"/>
    </row>
    <row r="35" spans="37:51">
      <c r="AK35" s="61"/>
      <c r="AL35" s="62"/>
      <c r="AM35" s="74"/>
      <c r="AN35" s="74"/>
      <c r="AO35" s="74"/>
      <c r="AP35" s="66"/>
      <c r="AQ35" s="126"/>
      <c r="AR35" s="126"/>
    </row>
    <row r="36" spans="37:51">
      <c r="AK36" s="61"/>
      <c r="AL36" s="62"/>
      <c r="AM36" s="74"/>
      <c r="AN36" s="74"/>
      <c r="AO36" s="74"/>
      <c r="AP36" s="66"/>
      <c r="AQ36" s="126"/>
      <c r="AR36" s="126"/>
    </row>
    <row r="37" spans="37:51">
      <c r="AK37" s="61"/>
      <c r="AL37" s="134"/>
      <c r="AM37" s="134"/>
      <c r="AN37" s="134"/>
      <c r="AO37" s="134"/>
      <c r="AP37" s="61"/>
      <c r="AQ37" s="126"/>
      <c r="AR37" s="126"/>
    </row>
    <row r="48" spans="37:51" ht="21.75" customHeight="1">
      <c r="AQ48" s="136" t="s">
        <v>5</v>
      </c>
      <c r="AR48" s="136" t="s">
        <v>69</v>
      </c>
      <c r="AS48" s="136" t="s">
        <v>70</v>
      </c>
      <c r="AT48" s="136" t="s">
        <v>71</v>
      </c>
      <c r="AU48" s="136" t="s">
        <v>72</v>
      </c>
      <c r="AV48" s="136" t="s">
        <v>73</v>
      </c>
      <c r="AW48" s="136" t="s">
        <v>74</v>
      </c>
      <c r="AX48" s="136" t="s">
        <v>75</v>
      </c>
      <c r="AY48" s="136" t="s">
        <v>76</v>
      </c>
    </row>
    <row r="49" spans="43:51">
      <c r="AQ49" s="136"/>
      <c r="AR49" s="136"/>
      <c r="AS49" s="136"/>
      <c r="AT49" s="136"/>
      <c r="AU49" s="136"/>
      <c r="AV49" s="136"/>
      <c r="AW49" s="136"/>
      <c r="AX49" s="136"/>
      <c r="AY49" s="136"/>
    </row>
    <row r="50" spans="43:51">
      <c r="AQ50" s="136" t="s">
        <v>77</v>
      </c>
      <c r="AR50" s="51">
        <v>1</v>
      </c>
      <c r="AS50" s="51" t="s">
        <v>78</v>
      </c>
      <c r="AT50" s="51">
        <v>6</v>
      </c>
      <c r="AU50" s="51">
        <v>1480</v>
      </c>
      <c r="AV50" s="51">
        <v>1</v>
      </c>
      <c r="AW50" s="35">
        <f>AU50*AV50/1000</f>
        <v>1.48</v>
      </c>
      <c r="AX50" s="35">
        <v>0.22</v>
      </c>
      <c r="AY50" s="52">
        <f>AW50*AX50</f>
        <v>0.32600000000000001</v>
      </c>
    </row>
    <row r="51" spans="43:51">
      <c r="AQ51" s="136"/>
      <c r="AR51" s="51">
        <v>2</v>
      </c>
      <c r="AS51" s="51" t="s">
        <v>78</v>
      </c>
      <c r="AT51" s="51">
        <v>6</v>
      </c>
      <c r="AU51" s="51">
        <v>170</v>
      </c>
      <c r="AV51" s="51">
        <v>4</v>
      </c>
      <c r="AW51" s="35">
        <f>AU51*AV51/1000</f>
        <v>0.68</v>
      </c>
      <c r="AX51" s="35">
        <v>0.22</v>
      </c>
      <c r="AY51" s="52">
        <f>AX51*AW51</f>
        <v>0.15</v>
      </c>
    </row>
    <row r="52" spans="43:51">
      <c r="AQ52" s="136" t="s">
        <v>79</v>
      </c>
      <c r="AR52" s="137" t="s">
        <v>80</v>
      </c>
      <c r="AS52" s="137"/>
      <c r="AT52" s="137"/>
      <c r="AU52" s="138">
        <f>AY50+AY51</f>
        <v>0.47599999999999998</v>
      </c>
      <c r="AV52" s="138"/>
      <c r="AW52" s="138"/>
      <c r="AX52" s="138"/>
      <c r="AY52" s="138"/>
    </row>
    <row r="53" spans="43:51">
      <c r="AQ53" s="136"/>
      <c r="AR53" s="137" t="s">
        <v>81</v>
      </c>
      <c r="AS53" s="137"/>
      <c r="AT53" s="137"/>
      <c r="AU53" s="138">
        <v>0.01</v>
      </c>
      <c r="AV53" s="138"/>
      <c r="AW53" s="138"/>
      <c r="AX53" s="138"/>
      <c r="AY53" s="138"/>
    </row>
    <row r="54" spans="43:51">
      <c r="AQ54" s="136"/>
      <c r="AR54" s="137" t="s">
        <v>82</v>
      </c>
      <c r="AS54" s="137"/>
      <c r="AT54" s="137"/>
      <c r="AU54" s="138">
        <f>1.483*0.05+(PI()*0.26)*0.05</f>
        <v>0.115</v>
      </c>
      <c r="AV54" s="138"/>
      <c r="AW54" s="138"/>
      <c r="AX54" s="138"/>
      <c r="AY54" s="138"/>
    </row>
    <row r="55" spans="43:51">
      <c r="AQ55" s="136"/>
      <c r="AR55" s="137" t="s">
        <v>83</v>
      </c>
      <c r="AS55" s="137"/>
      <c r="AT55" s="137"/>
      <c r="AU55" s="138">
        <v>5.2999999999999999E-2</v>
      </c>
      <c r="AV55" s="138"/>
      <c r="AW55" s="138"/>
      <c r="AX55" s="138"/>
      <c r="AY55" s="138"/>
    </row>
  </sheetData>
  <mergeCells count="59">
    <mergeCell ref="AQ52:AQ55"/>
    <mergeCell ref="AR52:AT52"/>
    <mergeCell ref="AU52:AY52"/>
    <mergeCell ref="AR53:AT53"/>
    <mergeCell ref="AU53:AY53"/>
    <mergeCell ref="AR54:AT54"/>
    <mergeCell ref="AU54:AY54"/>
    <mergeCell ref="AR55:AT55"/>
    <mergeCell ref="AU55:AY55"/>
    <mergeCell ref="AV48:AV49"/>
    <mergeCell ref="AW48:AW49"/>
    <mergeCell ref="AX48:AX49"/>
    <mergeCell ref="AY48:AY49"/>
    <mergeCell ref="AQ50:AQ51"/>
    <mergeCell ref="AQ48:AQ49"/>
    <mergeCell ref="AR48:AR49"/>
    <mergeCell ref="AS48:AS49"/>
    <mergeCell ref="AT48:AT49"/>
    <mergeCell ref="AU48:AU49"/>
    <mergeCell ref="C22:S22"/>
    <mergeCell ref="AQ33:AR33"/>
    <mergeCell ref="AQ34:AR34"/>
    <mergeCell ref="AQ35:AR35"/>
    <mergeCell ref="AQ36:AR36"/>
    <mergeCell ref="AQ23:AR23"/>
    <mergeCell ref="AQ24:AR24"/>
    <mergeCell ref="AQ25:AR25"/>
    <mergeCell ref="AQ26:AR26"/>
    <mergeCell ref="AQ27:AR27"/>
    <mergeCell ref="AQ18:AR18"/>
    <mergeCell ref="AQ20:AR20"/>
    <mergeCell ref="AQ22:AR22"/>
    <mergeCell ref="AL37:AO37"/>
    <mergeCell ref="AQ37:AR37"/>
    <mergeCell ref="AQ28:AR28"/>
    <mergeCell ref="AQ29:AR29"/>
    <mergeCell ref="AQ30:AR30"/>
    <mergeCell ref="AQ31:AR31"/>
    <mergeCell ref="AQ32:AR32"/>
    <mergeCell ref="AQ12:AR12"/>
    <mergeCell ref="AQ13:AR13"/>
    <mergeCell ref="C12:S12"/>
    <mergeCell ref="AQ14:AR14"/>
    <mergeCell ref="AQ16:AR16"/>
    <mergeCell ref="B13:AJ13"/>
    <mergeCell ref="AK4:AR4"/>
    <mergeCell ref="AQ5:AR5"/>
    <mergeCell ref="AQ6:AR6"/>
    <mergeCell ref="AQ7:AR7"/>
    <mergeCell ref="AQ8:AR8"/>
    <mergeCell ref="U2:AH2"/>
    <mergeCell ref="S2:T2"/>
    <mergeCell ref="AI2:AJ2"/>
    <mergeCell ref="A1:AJ1"/>
    <mergeCell ref="B2:B3"/>
    <mergeCell ref="D2:D3"/>
    <mergeCell ref="F2:R2"/>
    <mergeCell ref="A2:A3"/>
    <mergeCell ref="C2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33"/>
  <sheetViews>
    <sheetView workbookViewId="0">
      <selection activeCell="I22" sqref="I22"/>
    </sheetView>
  </sheetViews>
  <sheetFormatPr defaultRowHeight="15"/>
  <cols>
    <col min="1" max="1" width="12" style="84" customWidth="1"/>
    <col min="2" max="2" width="6.6640625" style="84" customWidth="1"/>
    <col min="3" max="3" width="10.5546875" style="84" customWidth="1"/>
    <col min="4" max="4" width="10.88671875" style="84" customWidth="1"/>
    <col min="5" max="5" width="8.88671875" style="84"/>
    <col min="6" max="6" width="3.6640625" style="84" customWidth="1"/>
    <col min="7" max="7" width="9.5546875" style="84" customWidth="1"/>
    <col min="8" max="8" width="12.33203125" style="84" customWidth="1"/>
    <col min="9" max="9" width="9.77734375" style="84" customWidth="1"/>
    <col min="10" max="16384" width="8.88671875" style="84"/>
  </cols>
  <sheetData>
    <row r="1" spans="1:9" ht="21.75" customHeight="1">
      <c r="B1" s="143" t="s">
        <v>167</v>
      </c>
      <c r="C1" s="143"/>
      <c r="D1" s="143"/>
      <c r="E1" s="143"/>
      <c r="F1" s="143"/>
      <c r="G1" s="143"/>
      <c r="H1" s="143"/>
      <c r="I1" s="143"/>
    </row>
    <row r="2" spans="1:9">
      <c r="B2" s="55" t="s">
        <v>4</v>
      </c>
      <c r="C2" s="147" t="s">
        <v>5</v>
      </c>
      <c r="D2" s="147"/>
      <c r="E2" s="147"/>
      <c r="F2" s="147"/>
      <c r="G2" s="55" t="s">
        <v>6</v>
      </c>
      <c r="H2" s="55" t="s">
        <v>108</v>
      </c>
      <c r="I2" s="55" t="s">
        <v>129</v>
      </c>
    </row>
    <row r="3" spans="1:9">
      <c r="A3" s="84" t="s">
        <v>109</v>
      </c>
      <c r="B3" s="85">
        <v>1</v>
      </c>
      <c r="C3" s="148" t="s">
        <v>29</v>
      </c>
      <c r="D3" s="148"/>
      <c r="E3" s="148"/>
      <c r="F3" s="148"/>
      <c r="G3" s="85" t="s">
        <v>7</v>
      </c>
      <c r="H3" s="86">
        <f>46.47*11.78*2</f>
        <v>1094.83</v>
      </c>
      <c r="I3" s="86">
        <f>53.77*11.78*2</f>
        <v>1266.82</v>
      </c>
    </row>
    <row r="4" spans="1:9">
      <c r="B4" s="85">
        <v>2</v>
      </c>
      <c r="C4" s="148" t="s">
        <v>185</v>
      </c>
      <c r="D4" s="148"/>
      <c r="E4" s="148"/>
      <c r="F4" s="148"/>
      <c r="G4" s="85" t="s">
        <v>7</v>
      </c>
      <c r="H4" s="86">
        <f>1.42*11.78*2</f>
        <v>33.46</v>
      </c>
      <c r="I4" s="86">
        <f>1.26*11.78*2</f>
        <v>29.69</v>
      </c>
    </row>
    <row r="5" spans="1:9">
      <c r="B5" s="85">
        <v>3</v>
      </c>
      <c r="C5" s="139" t="s">
        <v>43</v>
      </c>
      <c r="D5" s="139"/>
      <c r="E5" s="139"/>
      <c r="F5" s="139"/>
      <c r="G5" s="85" t="s">
        <v>7</v>
      </c>
      <c r="H5" s="86">
        <f>'cong thuc tinh tu non'!Y17-H26-H25+36.71*4.26</f>
        <v>383.1</v>
      </c>
      <c r="I5" s="86">
        <f>'cong thuc tinh tu non'!Y22-I26-I25+41.4*2.2</f>
        <v>433.92</v>
      </c>
    </row>
    <row r="6" spans="1:9">
      <c r="B6" s="85">
        <v>4</v>
      </c>
      <c r="C6" s="144" t="s">
        <v>97</v>
      </c>
      <c r="D6" s="145"/>
      <c r="E6" s="145"/>
      <c r="F6" s="146"/>
      <c r="G6" s="85"/>
      <c r="H6" s="86"/>
      <c r="I6" s="86"/>
    </row>
    <row r="7" spans="1:9">
      <c r="B7" s="85"/>
      <c r="C7" s="139" t="s">
        <v>168</v>
      </c>
      <c r="D7" s="139"/>
      <c r="E7" s="139"/>
      <c r="F7" s="139"/>
      <c r="G7" s="85" t="s">
        <v>7</v>
      </c>
      <c r="H7" s="86">
        <f>0.715*15.5</f>
        <v>11.08</v>
      </c>
      <c r="I7" s="86">
        <f>0.715*22.13</f>
        <v>15.82</v>
      </c>
    </row>
    <row r="8" spans="1:9">
      <c r="B8" s="85"/>
      <c r="C8" s="140" t="s">
        <v>87</v>
      </c>
      <c r="D8" s="141"/>
      <c r="E8" s="141"/>
      <c r="F8" s="142"/>
      <c r="G8" s="85" t="s">
        <v>7</v>
      </c>
      <c r="H8" s="86">
        <f>0.105*15.5</f>
        <v>1.63</v>
      </c>
      <c r="I8" s="86">
        <f>0.105*22.13</f>
        <v>2.3199999999999998</v>
      </c>
    </row>
    <row r="9" spans="1:9">
      <c r="B9" s="85"/>
      <c r="C9" s="139" t="s">
        <v>189</v>
      </c>
      <c r="D9" s="139"/>
      <c r="E9" s="139"/>
      <c r="F9" s="139"/>
      <c r="G9" s="85" t="s">
        <v>28</v>
      </c>
      <c r="H9" s="86">
        <v>10</v>
      </c>
      <c r="I9" s="86">
        <v>11</v>
      </c>
    </row>
    <row r="10" spans="1:9">
      <c r="B10" s="85"/>
      <c r="C10" s="139" t="s">
        <v>89</v>
      </c>
      <c r="D10" s="139"/>
      <c r="E10" s="139"/>
      <c r="F10" s="139"/>
      <c r="G10" s="85" t="s">
        <v>9</v>
      </c>
      <c r="H10" s="86">
        <f>2*PI()*0.0025*1*H9</f>
        <v>0.16</v>
      </c>
      <c r="I10" s="86">
        <f>2*PI()*0.0025*1*I9</f>
        <v>0.17</v>
      </c>
    </row>
    <row r="11" spans="1:9">
      <c r="B11" s="85"/>
      <c r="C11" s="140" t="s">
        <v>99</v>
      </c>
      <c r="D11" s="141"/>
      <c r="E11" s="141"/>
      <c r="F11" s="142"/>
      <c r="G11" s="85" t="s">
        <v>98</v>
      </c>
      <c r="H11" s="88">
        <f>('cong thuc tinh tu non'!W17-0.9*10.25)/0.16</f>
        <v>935</v>
      </c>
      <c r="I11" s="88">
        <f>('cong thuc tinh tu non'!W22-0.9*9.9)/0.16</f>
        <v>1255</v>
      </c>
    </row>
    <row r="12" spans="1:9">
      <c r="B12" s="85"/>
      <c r="C12" s="140" t="s">
        <v>100</v>
      </c>
      <c r="D12" s="141"/>
      <c r="E12" s="141"/>
      <c r="F12" s="142"/>
      <c r="G12" s="85" t="s">
        <v>7</v>
      </c>
      <c r="H12" s="86">
        <f>0.01*H11</f>
        <v>9.35</v>
      </c>
      <c r="I12" s="86">
        <f>0.01*I11</f>
        <v>12.55</v>
      </c>
    </row>
    <row r="13" spans="1:9">
      <c r="B13" s="85"/>
      <c r="C13" s="140" t="s">
        <v>101</v>
      </c>
      <c r="D13" s="141"/>
      <c r="E13" s="141"/>
      <c r="F13" s="142"/>
      <c r="G13" s="85" t="s">
        <v>102</v>
      </c>
      <c r="H13" s="86">
        <f>H11*0.484</f>
        <v>452.54</v>
      </c>
      <c r="I13" s="86">
        <f>I11*0.484</f>
        <v>607.41999999999996</v>
      </c>
    </row>
    <row r="14" spans="1:9">
      <c r="B14" s="85"/>
      <c r="C14" s="140" t="s">
        <v>103</v>
      </c>
      <c r="D14" s="141"/>
      <c r="E14" s="141"/>
      <c r="F14" s="142"/>
      <c r="G14" s="85" t="s">
        <v>7</v>
      </c>
      <c r="H14" s="86">
        <f>0.07*0.07*0.1*H11</f>
        <v>0.46</v>
      </c>
      <c r="I14" s="86">
        <f>0.07*0.07*0.1*I11</f>
        <v>0.61</v>
      </c>
    </row>
    <row r="15" spans="1:9">
      <c r="B15" s="85"/>
      <c r="C15" s="140" t="s">
        <v>14</v>
      </c>
      <c r="D15" s="141"/>
      <c r="E15" s="141"/>
      <c r="F15" s="142"/>
      <c r="G15" s="85" t="s">
        <v>9</v>
      </c>
      <c r="H15" s="86">
        <f>H11*0.053</f>
        <v>49.56</v>
      </c>
      <c r="I15" s="86">
        <f>I11*0.053</f>
        <v>66.52</v>
      </c>
    </row>
    <row r="16" spans="1:9">
      <c r="B16" s="85"/>
      <c r="C16" s="140" t="s">
        <v>179</v>
      </c>
      <c r="D16" s="141"/>
      <c r="E16" s="141"/>
      <c r="F16" s="142"/>
      <c r="G16" s="85" t="s">
        <v>7</v>
      </c>
      <c r="H16" s="86">
        <f>2.64*15.5</f>
        <v>40.92</v>
      </c>
      <c r="I16" s="86">
        <f>2.64*22.13</f>
        <v>58.42</v>
      </c>
    </row>
    <row r="17" spans="2:9">
      <c r="B17" s="85"/>
      <c r="C17" s="140" t="s">
        <v>180</v>
      </c>
      <c r="D17" s="141"/>
      <c r="E17" s="141"/>
      <c r="F17" s="142"/>
      <c r="G17" s="85" t="s">
        <v>7</v>
      </c>
      <c r="H17" s="86">
        <f>1.925*15.5</f>
        <v>29.84</v>
      </c>
      <c r="I17" s="86">
        <f>1.925*22.13</f>
        <v>42.6</v>
      </c>
    </row>
    <row r="18" spans="2:9">
      <c r="B18" s="85">
        <v>5</v>
      </c>
      <c r="C18" s="144" t="s">
        <v>95</v>
      </c>
      <c r="D18" s="145"/>
      <c r="E18" s="145"/>
      <c r="F18" s="146"/>
      <c r="G18" s="85"/>
      <c r="H18" s="86"/>
      <c r="I18" s="86"/>
    </row>
    <row r="19" spans="2:9">
      <c r="B19" s="85"/>
      <c r="C19" s="139" t="s">
        <v>30</v>
      </c>
      <c r="D19" s="139"/>
      <c r="E19" s="139"/>
      <c r="F19" s="139"/>
      <c r="G19" s="85" t="s">
        <v>7</v>
      </c>
      <c r="H19" s="86">
        <f>3.67*39.8</f>
        <v>146.07</v>
      </c>
      <c r="I19" s="86">
        <f>4.7*39.8</f>
        <v>187.06</v>
      </c>
    </row>
    <row r="20" spans="2:9">
      <c r="B20" s="85"/>
      <c r="C20" s="139" t="s">
        <v>88</v>
      </c>
      <c r="D20" s="139"/>
      <c r="E20" s="139"/>
      <c r="F20" s="139"/>
      <c r="G20" s="85" t="s">
        <v>9</v>
      </c>
      <c r="H20" s="86">
        <f>7.72*39.8</f>
        <v>307.26</v>
      </c>
      <c r="I20" s="86">
        <f>9.37*39.8</f>
        <v>372.93</v>
      </c>
    </row>
    <row r="21" spans="2:9" ht="14.25" customHeight="1">
      <c r="B21" s="85"/>
      <c r="C21" s="139" t="s">
        <v>89</v>
      </c>
      <c r="D21" s="139"/>
      <c r="E21" s="139"/>
      <c r="F21" s="139"/>
      <c r="G21" s="85" t="s">
        <v>9</v>
      </c>
      <c r="H21" s="86">
        <f>3.14*0.15*39.8</f>
        <v>18.75</v>
      </c>
      <c r="I21" s="86">
        <f>H21</f>
        <v>18.75</v>
      </c>
    </row>
    <row r="22" spans="2:9">
      <c r="B22" s="85"/>
      <c r="C22" s="140" t="s">
        <v>90</v>
      </c>
      <c r="D22" s="141"/>
      <c r="E22" s="141"/>
      <c r="F22" s="142"/>
      <c r="G22" s="85" t="s">
        <v>91</v>
      </c>
      <c r="H22" s="86">
        <v>2</v>
      </c>
      <c r="I22" s="86">
        <v>2</v>
      </c>
    </row>
    <row r="23" spans="2:9">
      <c r="B23" s="85"/>
      <c r="C23" s="140" t="s">
        <v>181</v>
      </c>
      <c r="D23" s="141"/>
      <c r="E23" s="141"/>
      <c r="F23" s="142"/>
      <c r="G23" s="85" t="s">
        <v>92</v>
      </c>
      <c r="H23" s="86">
        <v>39.799999999999997</v>
      </c>
      <c r="I23" s="86">
        <v>39.799999999999997</v>
      </c>
    </row>
    <row r="24" spans="2:9">
      <c r="B24" s="85">
        <v>6</v>
      </c>
      <c r="C24" s="144" t="s">
        <v>96</v>
      </c>
      <c r="D24" s="145"/>
      <c r="E24" s="145"/>
      <c r="F24" s="146"/>
      <c r="G24" s="85"/>
      <c r="H24" s="86"/>
      <c r="I24" s="86"/>
    </row>
    <row r="25" spans="2:9">
      <c r="B25" s="85"/>
      <c r="C25" s="140" t="s">
        <v>93</v>
      </c>
      <c r="D25" s="141"/>
      <c r="E25" s="141"/>
      <c r="F25" s="142"/>
      <c r="G25" s="85" t="s">
        <v>7</v>
      </c>
      <c r="H25" s="86">
        <f>10.25*0.1*0.9</f>
        <v>0.92</v>
      </c>
      <c r="I25" s="86">
        <f>9.9*0.1*0.9</f>
        <v>0.89</v>
      </c>
    </row>
    <row r="26" spans="2:9">
      <c r="B26" s="85"/>
      <c r="C26" s="140" t="s">
        <v>94</v>
      </c>
      <c r="D26" s="141"/>
      <c r="E26" s="141"/>
      <c r="F26" s="142"/>
      <c r="G26" s="85" t="s">
        <v>7</v>
      </c>
      <c r="H26" s="86">
        <f>0.09*0.65*30+0.25*0.35*10.25</f>
        <v>2.65</v>
      </c>
      <c r="I26" s="86">
        <f>0.09*0.65*28+0.25*0.35*9.9</f>
        <v>2.5</v>
      </c>
    </row>
    <row r="27" spans="2:9">
      <c r="B27" s="85">
        <v>7</v>
      </c>
      <c r="C27" s="144" t="s">
        <v>104</v>
      </c>
      <c r="D27" s="145"/>
      <c r="E27" s="145"/>
      <c r="F27" s="146"/>
      <c r="G27" s="85"/>
      <c r="H27" s="86"/>
      <c r="I27" s="86"/>
    </row>
    <row r="28" spans="2:9">
      <c r="B28" s="85"/>
      <c r="C28" s="140" t="s">
        <v>105</v>
      </c>
      <c r="D28" s="141"/>
      <c r="E28" s="141"/>
      <c r="F28" s="142"/>
      <c r="G28" s="85" t="s">
        <v>3</v>
      </c>
      <c r="H28" s="86">
        <v>11.72</v>
      </c>
      <c r="I28" s="86">
        <v>13.55</v>
      </c>
    </row>
    <row r="29" spans="2:9">
      <c r="B29" s="85"/>
      <c r="C29" s="140" t="s">
        <v>106</v>
      </c>
      <c r="D29" s="141"/>
      <c r="E29" s="141"/>
      <c r="F29" s="142"/>
      <c r="G29" s="85" t="s">
        <v>7</v>
      </c>
      <c r="H29" s="86">
        <f>9.9*H28</f>
        <v>116.03</v>
      </c>
      <c r="I29" s="86">
        <f>4.46*I28</f>
        <v>60.43</v>
      </c>
    </row>
    <row r="30" spans="2:9">
      <c r="B30" s="85"/>
      <c r="C30" s="140" t="s">
        <v>107</v>
      </c>
      <c r="D30" s="141"/>
      <c r="E30" s="141"/>
      <c r="F30" s="142"/>
      <c r="G30" s="85" t="s">
        <v>7</v>
      </c>
      <c r="H30" s="86">
        <f>0.38*H28</f>
        <v>4.45</v>
      </c>
      <c r="I30" s="86">
        <f>0.27*I28</f>
        <v>3.66</v>
      </c>
    </row>
    <row r="31" spans="2:9">
      <c r="B31" s="87"/>
      <c r="C31" s="140" t="s">
        <v>190</v>
      </c>
      <c r="D31" s="141"/>
      <c r="E31" s="141"/>
      <c r="F31" s="142"/>
      <c r="G31" s="87" t="s">
        <v>28</v>
      </c>
      <c r="H31" s="86">
        <v>12</v>
      </c>
      <c r="I31" s="86">
        <v>12</v>
      </c>
    </row>
    <row r="32" spans="2:9">
      <c r="B32" s="85"/>
      <c r="C32" s="140" t="s">
        <v>182</v>
      </c>
      <c r="D32" s="141"/>
      <c r="E32" s="141"/>
      <c r="F32" s="142"/>
      <c r="G32" s="85" t="s">
        <v>7</v>
      </c>
      <c r="H32" s="86">
        <f>6.53*H28</f>
        <v>76.53</v>
      </c>
      <c r="I32" s="86">
        <f>4.76*I28</f>
        <v>64.5</v>
      </c>
    </row>
    <row r="33" spans="2:9">
      <c r="B33" s="85"/>
      <c r="C33" s="140" t="s">
        <v>180</v>
      </c>
      <c r="D33" s="141"/>
      <c r="E33" s="141"/>
      <c r="F33" s="142"/>
      <c r="G33" s="85" t="s">
        <v>7</v>
      </c>
      <c r="H33" s="86">
        <f>2.32*H28</f>
        <v>27.19</v>
      </c>
      <c r="I33" s="86">
        <f>1.91*I28</f>
        <v>25.88</v>
      </c>
    </row>
  </sheetData>
  <mergeCells count="33">
    <mergeCell ref="C21:F21"/>
    <mergeCell ref="C2:F2"/>
    <mergeCell ref="C31:F31"/>
    <mergeCell ref="C6:F6"/>
    <mergeCell ref="C7:F7"/>
    <mergeCell ref="C3:F3"/>
    <mergeCell ref="C5:F5"/>
    <mergeCell ref="C4:F4"/>
    <mergeCell ref="C11:F11"/>
    <mergeCell ref="C12:F12"/>
    <mergeCell ref="C10:F10"/>
    <mergeCell ref="C8:F8"/>
    <mergeCell ref="C9:F9"/>
    <mergeCell ref="C20:F20"/>
    <mergeCell ref="C15:F15"/>
    <mergeCell ref="C18:F18"/>
    <mergeCell ref="C26:F26"/>
    <mergeCell ref="C27:F27"/>
    <mergeCell ref="C24:F24"/>
    <mergeCell ref="C25:F25"/>
    <mergeCell ref="C22:F22"/>
    <mergeCell ref="C23:F23"/>
    <mergeCell ref="C33:F33"/>
    <mergeCell ref="C30:F30"/>
    <mergeCell ref="C32:F32"/>
    <mergeCell ref="C28:F28"/>
    <mergeCell ref="C29:F29"/>
    <mergeCell ref="C19:F19"/>
    <mergeCell ref="C14:F14"/>
    <mergeCell ref="C16:F16"/>
    <mergeCell ref="C17:F17"/>
    <mergeCell ref="B1:I1"/>
    <mergeCell ref="C13:F13"/>
  </mergeCell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7"/>
  <sheetViews>
    <sheetView workbookViewId="0">
      <selection activeCell="G9" sqref="G9"/>
    </sheetView>
  </sheetViews>
  <sheetFormatPr defaultRowHeight="15"/>
  <cols>
    <col min="1" max="1" width="6.109375" customWidth="1"/>
    <col min="7" max="7" width="12.5546875" customWidth="1"/>
    <col min="8" max="8" width="12.88671875" customWidth="1"/>
    <col min="9" max="9" width="10.21875" customWidth="1"/>
    <col min="10" max="10" width="11.5546875" customWidth="1"/>
    <col min="11" max="11" width="11" customWidth="1"/>
  </cols>
  <sheetData>
    <row r="1" spans="1:11" ht="31.5" customHeight="1">
      <c r="A1" s="143" t="s">
        <v>192</v>
      </c>
      <c r="B1" s="143"/>
      <c r="C1" s="143"/>
      <c r="D1" s="143"/>
      <c r="E1" s="143"/>
      <c r="F1" s="143"/>
      <c r="G1" s="143"/>
      <c r="H1" s="143"/>
      <c r="I1" s="143"/>
      <c r="J1" s="143"/>
      <c r="K1" s="143"/>
    </row>
    <row r="2" spans="1:11" ht="30" customHeight="1">
      <c r="A2" s="10" t="s">
        <v>46</v>
      </c>
      <c r="B2" s="144" t="s">
        <v>5</v>
      </c>
      <c r="C2" s="145"/>
      <c r="D2" s="145"/>
      <c r="E2" s="146"/>
      <c r="F2" s="29" t="s">
        <v>6</v>
      </c>
      <c r="G2" s="94" t="s">
        <v>122</v>
      </c>
      <c r="H2" s="95" t="s">
        <v>123</v>
      </c>
      <c r="I2" s="95" t="s">
        <v>187</v>
      </c>
      <c r="J2" s="95" t="s">
        <v>188</v>
      </c>
      <c r="K2" s="95" t="s">
        <v>191</v>
      </c>
    </row>
    <row r="3" spans="1:11" ht="15.75" customHeight="1">
      <c r="A3" s="54">
        <v>1</v>
      </c>
      <c r="B3" s="152" t="s">
        <v>130</v>
      </c>
      <c r="C3" s="153"/>
      <c r="D3" s="153"/>
      <c r="E3" s="154"/>
      <c r="F3" s="53" t="s">
        <v>9</v>
      </c>
      <c r="G3" s="82">
        <f>'KL duong dau cau'!AJ12</f>
        <v>531.78</v>
      </c>
      <c r="H3" s="11">
        <f>'KL duong dau cau'!AJ22</f>
        <v>616.16999999999996</v>
      </c>
      <c r="I3" s="11">
        <f>G3+H3</f>
        <v>1147.95</v>
      </c>
      <c r="J3" s="11">
        <v>1527.07</v>
      </c>
      <c r="K3" s="11">
        <f>I3-J3</f>
        <v>-379.12</v>
      </c>
    </row>
    <row r="4" spans="1:11">
      <c r="A4" s="8">
        <v>2</v>
      </c>
      <c r="B4" s="152" t="s">
        <v>23</v>
      </c>
      <c r="C4" s="153"/>
      <c r="D4" s="153"/>
      <c r="E4" s="154"/>
      <c r="F4" s="9" t="s">
        <v>7</v>
      </c>
      <c r="G4" s="82">
        <f>'KL duong dau cau'!U12</f>
        <v>100</v>
      </c>
      <c r="H4" s="11">
        <f>'KL duong dau cau'!U22</f>
        <v>106.45</v>
      </c>
      <c r="I4" s="11">
        <f t="shared" ref="I4:J37" si="0">G4+H4</f>
        <v>206.45</v>
      </c>
      <c r="J4" s="11">
        <v>763.54</v>
      </c>
      <c r="K4" s="11">
        <f t="shared" ref="K4:K37" si="1">I4-J4</f>
        <v>-557.09</v>
      </c>
    </row>
    <row r="5" spans="1:11">
      <c r="A5" s="79">
        <v>3</v>
      </c>
      <c r="B5" s="149" t="s">
        <v>183</v>
      </c>
      <c r="C5" s="150"/>
      <c r="D5" s="150"/>
      <c r="E5" s="151"/>
      <c r="F5" s="53" t="s">
        <v>7</v>
      </c>
      <c r="G5" s="82">
        <f>'KL duong dau cau'!W12</f>
        <v>479.71</v>
      </c>
      <c r="H5" s="11">
        <f>'KL duong dau cau'!W22</f>
        <v>731.76</v>
      </c>
      <c r="I5" s="11">
        <f t="shared" si="0"/>
        <v>1211.47</v>
      </c>
      <c r="J5" s="11">
        <v>1178.1099999999999</v>
      </c>
      <c r="K5" s="11">
        <f t="shared" si="1"/>
        <v>33.36</v>
      </c>
    </row>
    <row r="6" spans="1:11">
      <c r="A6" s="79">
        <v>4</v>
      </c>
      <c r="B6" s="149" t="s">
        <v>184</v>
      </c>
      <c r="C6" s="150"/>
      <c r="D6" s="150"/>
      <c r="E6" s="151"/>
      <c r="F6" s="9" t="s">
        <v>7</v>
      </c>
      <c r="G6" s="82">
        <f>'KL duong dau cau'!Z12</f>
        <v>76.62</v>
      </c>
      <c r="H6" s="11">
        <f>'KL duong dau cau'!Z22</f>
        <v>74.87</v>
      </c>
      <c r="I6" s="11">
        <f t="shared" si="0"/>
        <v>151.49</v>
      </c>
      <c r="J6" s="11">
        <v>255.36</v>
      </c>
      <c r="K6" s="11">
        <f t="shared" si="1"/>
        <v>-103.87</v>
      </c>
    </row>
    <row r="7" spans="1:11">
      <c r="A7" s="79">
        <v>5</v>
      </c>
      <c r="B7" s="149" t="s">
        <v>26</v>
      </c>
      <c r="C7" s="150"/>
      <c r="D7" s="150"/>
      <c r="E7" s="151"/>
      <c r="F7" s="18" t="s">
        <v>7</v>
      </c>
      <c r="G7" s="80">
        <f>'KL duong dau cau'!X12+'KL tu non. long mo'!H3</f>
        <v>2783.21</v>
      </c>
      <c r="H7" s="11">
        <f>'KL duong dau cau'!X22+'KL tu non. long mo'!I3</f>
        <v>3189.93</v>
      </c>
      <c r="I7" s="11">
        <f t="shared" si="0"/>
        <v>5973.14</v>
      </c>
      <c r="J7" s="11">
        <v>5975.28</v>
      </c>
      <c r="K7" s="11">
        <f t="shared" si="1"/>
        <v>-2.14</v>
      </c>
    </row>
    <row r="8" spans="1:11">
      <c r="A8" s="79">
        <v>6</v>
      </c>
      <c r="B8" s="149" t="s">
        <v>13</v>
      </c>
      <c r="C8" s="150"/>
      <c r="D8" s="150"/>
      <c r="E8" s="151"/>
      <c r="F8" s="9" t="s">
        <v>7</v>
      </c>
      <c r="G8" s="82">
        <f>'KL duong dau cau'!V12+'KL tu non. long mo'!H5</f>
        <v>1687.46</v>
      </c>
      <c r="H8" s="11">
        <f>'KL duong dau cau'!V22+'KL tu non. long mo'!I5</f>
        <v>1779.87</v>
      </c>
      <c r="I8" s="11">
        <f t="shared" si="0"/>
        <v>3467.33</v>
      </c>
      <c r="J8" s="11">
        <v>2838.04</v>
      </c>
      <c r="K8" s="11">
        <f t="shared" si="1"/>
        <v>629.29</v>
      </c>
    </row>
    <row r="9" spans="1:11">
      <c r="A9" s="79">
        <v>7</v>
      </c>
      <c r="B9" s="149" t="s">
        <v>186</v>
      </c>
      <c r="C9" s="150"/>
      <c r="D9" s="150"/>
      <c r="E9" s="151"/>
      <c r="F9" s="9" t="s">
        <v>7</v>
      </c>
      <c r="G9" s="82">
        <f>'KL duong dau cau'!Z12+'KL tu non. long mo'!H5</f>
        <v>459.72</v>
      </c>
      <c r="H9" s="11">
        <f>'KL duong dau cau'!Y22+'KL tu non. long mo'!I4</f>
        <v>179.59</v>
      </c>
      <c r="I9" s="11">
        <f t="shared" si="0"/>
        <v>639.30999999999995</v>
      </c>
      <c r="J9" s="11">
        <v>358.56</v>
      </c>
      <c r="K9" s="11">
        <f t="shared" si="1"/>
        <v>280.75</v>
      </c>
    </row>
    <row r="10" spans="1:11">
      <c r="A10" s="79">
        <v>8</v>
      </c>
      <c r="B10" s="149" t="s">
        <v>124</v>
      </c>
      <c r="C10" s="150"/>
      <c r="D10" s="150"/>
      <c r="E10" s="151"/>
      <c r="F10" s="28"/>
      <c r="G10" s="80"/>
      <c r="H10" s="11"/>
      <c r="I10" s="11"/>
      <c r="J10" s="11"/>
      <c r="K10" s="11"/>
    </row>
    <row r="11" spans="1:11">
      <c r="A11" s="96"/>
      <c r="B11" s="139" t="s">
        <v>168</v>
      </c>
      <c r="C11" s="139"/>
      <c r="D11" s="139"/>
      <c r="E11" s="139"/>
      <c r="F11" s="87" t="s">
        <v>7</v>
      </c>
      <c r="G11" s="80">
        <f>'KL duong dau cau'!AG12+'KL tu non. long mo'!H7</f>
        <v>18.309999999999999</v>
      </c>
      <c r="H11" s="11">
        <f>'KL duong dau cau'!AG22+'KL tu non. long mo'!I7</f>
        <v>23.02</v>
      </c>
      <c r="I11" s="11">
        <f t="shared" si="0"/>
        <v>41.33</v>
      </c>
      <c r="J11" s="11">
        <v>41.93</v>
      </c>
      <c r="K11" s="11">
        <f t="shared" si="1"/>
        <v>-0.6</v>
      </c>
    </row>
    <row r="12" spans="1:11">
      <c r="A12" s="97"/>
      <c r="B12" s="140" t="s">
        <v>87</v>
      </c>
      <c r="C12" s="141"/>
      <c r="D12" s="141"/>
      <c r="E12" s="142"/>
      <c r="F12" s="87" t="s">
        <v>7</v>
      </c>
      <c r="G12" s="82">
        <f>'KL duong dau cau'!AH12+'KL tu non. long mo'!H8</f>
        <v>2.73</v>
      </c>
      <c r="H12" s="11">
        <f>'KL tu non. long mo'!I8+'KL duong dau cau'!AH22</f>
        <v>3.42</v>
      </c>
      <c r="I12" s="11">
        <f t="shared" si="0"/>
        <v>6.15</v>
      </c>
      <c r="J12" s="11">
        <v>6.16</v>
      </c>
      <c r="K12" s="11">
        <f t="shared" si="1"/>
        <v>-0.01</v>
      </c>
    </row>
    <row r="13" spans="1:11">
      <c r="A13" s="97"/>
      <c r="B13" s="139" t="s">
        <v>189</v>
      </c>
      <c r="C13" s="139"/>
      <c r="D13" s="139"/>
      <c r="E13" s="139"/>
      <c r="F13" s="87" t="s">
        <v>28</v>
      </c>
      <c r="G13" s="82">
        <f>'KL tu non. long mo'!H9</f>
        <v>10</v>
      </c>
      <c r="H13" s="11">
        <f>'KL tu non. long mo'!I9</f>
        <v>11</v>
      </c>
      <c r="I13" s="11">
        <f t="shared" si="0"/>
        <v>21</v>
      </c>
      <c r="J13" s="11">
        <v>52</v>
      </c>
      <c r="K13" s="11">
        <f t="shared" si="1"/>
        <v>-31</v>
      </c>
    </row>
    <row r="14" spans="1:11">
      <c r="A14" s="97"/>
      <c r="B14" s="139" t="s">
        <v>89</v>
      </c>
      <c r="C14" s="139"/>
      <c r="D14" s="139"/>
      <c r="E14" s="139"/>
      <c r="F14" s="87" t="s">
        <v>9</v>
      </c>
      <c r="G14" s="82">
        <f>'KL tu non. long mo'!H10</f>
        <v>0.16</v>
      </c>
      <c r="H14" s="11">
        <f>'KL tu non. long mo'!I10</f>
        <v>0.17</v>
      </c>
      <c r="I14" s="11">
        <f t="shared" si="0"/>
        <v>0.33</v>
      </c>
      <c r="J14" s="11">
        <v>0</v>
      </c>
      <c r="K14" s="11">
        <f t="shared" si="1"/>
        <v>0.33</v>
      </c>
    </row>
    <row r="15" spans="1:11">
      <c r="A15" s="97"/>
      <c r="B15" s="140" t="s">
        <v>99</v>
      </c>
      <c r="C15" s="141"/>
      <c r="D15" s="141"/>
      <c r="E15" s="142"/>
      <c r="F15" s="87" t="s">
        <v>98</v>
      </c>
      <c r="G15" s="81">
        <f>'KL tu non. long mo'!H11+'KL duong dau cau'!AI12/0.16</f>
        <v>2619</v>
      </c>
      <c r="H15" s="30">
        <f>'KL tu non. long mo'!I11+'KL duong dau cau'!AI22/0.16</f>
        <v>3134</v>
      </c>
      <c r="I15" s="11">
        <f t="shared" si="0"/>
        <v>5753</v>
      </c>
      <c r="J15" s="11">
        <v>5412.93</v>
      </c>
      <c r="K15" s="11">
        <f t="shared" si="1"/>
        <v>340.07</v>
      </c>
    </row>
    <row r="16" spans="1:11">
      <c r="A16" s="97"/>
      <c r="B16" s="140" t="s">
        <v>100</v>
      </c>
      <c r="C16" s="141"/>
      <c r="D16" s="141"/>
      <c r="E16" s="142"/>
      <c r="F16" s="87" t="s">
        <v>7</v>
      </c>
      <c r="G16" s="82">
        <f>G15*0.01</f>
        <v>26.19</v>
      </c>
      <c r="H16" s="82">
        <f>H15*0.01</f>
        <v>31.34</v>
      </c>
      <c r="I16" s="11">
        <f t="shared" si="0"/>
        <v>57.53</v>
      </c>
      <c r="J16" s="11">
        <v>57.87</v>
      </c>
      <c r="K16" s="11">
        <f t="shared" si="1"/>
        <v>-0.34</v>
      </c>
    </row>
    <row r="17" spans="1:11">
      <c r="A17" s="97"/>
      <c r="B17" s="140" t="s">
        <v>101</v>
      </c>
      <c r="C17" s="141"/>
      <c r="D17" s="141"/>
      <c r="E17" s="142"/>
      <c r="F17" s="87" t="s">
        <v>102</v>
      </c>
      <c r="G17" s="82">
        <f>G15*0.484</f>
        <v>1267.5999999999999</v>
      </c>
      <c r="H17" s="82">
        <f>H15*0.484</f>
        <v>1516.86</v>
      </c>
      <c r="I17" s="11">
        <f t="shared" si="0"/>
        <v>2784.46</v>
      </c>
      <c r="J17" s="11">
        <f>0.35+1.44</f>
        <v>1.79</v>
      </c>
      <c r="K17" s="11">
        <f t="shared" si="1"/>
        <v>2782.67</v>
      </c>
    </row>
    <row r="18" spans="1:11">
      <c r="A18" s="97"/>
      <c r="B18" s="140" t="s">
        <v>103</v>
      </c>
      <c r="C18" s="141"/>
      <c r="D18" s="141"/>
      <c r="E18" s="142"/>
      <c r="F18" s="87" t="s">
        <v>7</v>
      </c>
      <c r="G18" s="82">
        <f>0.07*0.07*0.1*G15</f>
        <v>1.28</v>
      </c>
      <c r="H18" s="82">
        <f>0.07*0.07*0.1*H15</f>
        <v>1.54</v>
      </c>
      <c r="I18" s="11">
        <f t="shared" si="0"/>
        <v>2.82</v>
      </c>
      <c r="J18" s="11">
        <v>0</v>
      </c>
      <c r="K18" s="11">
        <f t="shared" si="1"/>
        <v>2.82</v>
      </c>
    </row>
    <row r="19" spans="1:11" ht="14.25" customHeight="1">
      <c r="A19" s="97"/>
      <c r="B19" s="140" t="s">
        <v>14</v>
      </c>
      <c r="C19" s="141"/>
      <c r="D19" s="141"/>
      <c r="E19" s="142"/>
      <c r="F19" s="87" t="s">
        <v>9</v>
      </c>
      <c r="G19" s="82">
        <f>0.053*G15</f>
        <v>138.81</v>
      </c>
      <c r="H19" s="82">
        <f>0.053*H15</f>
        <v>166.1</v>
      </c>
      <c r="I19" s="11">
        <f t="shared" si="0"/>
        <v>304.91000000000003</v>
      </c>
      <c r="J19" s="11">
        <v>0</v>
      </c>
      <c r="K19" s="11">
        <f t="shared" si="1"/>
        <v>304.91000000000003</v>
      </c>
    </row>
    <row r="20" spans="1:11">
      <c r="A20" s="97"/>
      <c r="B20" s="140" t="s">
        <v>179</v>
      </c>
      <c r="C20" s="141"/>
      <c r="D20" s="141"/>
      <c r="E20" s="142"/>
      <c r="F20" s="87" t="s">
        <v>7</v>
      </c>
      <c r="G20" s="82">
        <f>'KL tu non. long mo'!H16+'KL duong dau cau'!AE12</f>
        <v>64.06</v>
      </c>
      <c r="H20" s="11">
        <f>'KL tu non. long mo'!I16+'KL duong dau cau'!AE22</f>
        <v>79.900000000000006</v>
      </c>
      <c r="I20" s="11">
        <f t="shared" si="0"/>
        <v>143.96</v>
      </c>
      <c r="J20" s="11">
        <v>170.99</v>
      </c>
      <c r="K20" s="11">
        <f t="shared" si="1"/>
        <v>-27.03</v>
      </c>
    </row>
    <row r="21" spans="1:11">
      <c r="A21" s="98"/>
      <c r="B21" s="140" t="s">
        <v>180</v>
      </c>
      <c r="C21" s="141"/>
      <c r="D21" s="141"/>
      <c r="E21" s="142"/>
      <c r="F21" s="87" t="s">
        <v>7</v>
      </c>
      <c r="G21" s="82">
        <f>'KL tu non. long mo'!H17+'KL duong dau cau'!AF12</f>
        <v>45.53</v>
      </c>
      <c r="H21" s="11">
        <f>'KL tu non. long mo'!I17+'KL duong dau cau'!AF22</f>
        <v>56.89</v>
      </c>
      <c r="I21" s="11">
        <f t="shared" si="0"/>
        <v>102.42</v>
      </c>
      <c r="J21" s="11">
        <v>129.05000000000001</v>
      </c>
      <c r="K21" s="11">
        <f t="shared" si="1"/>
        <v>-26.63</v>
      </c>
    </row>
    <row r="22" spans="1:11">
      <c r="A22" s="28">
        <v>9</v>
      </c>
      <c r="B22" s="144" t="s">
        <v>95</v>
      </c>
      <c r="C22" s="145"/>
      <c r="D22" s="145"/>
      <c r="E22" s="146"/>
      <c r="F22" s="87"/>
      <c r="G22" s="80"/>
      <c r="H22" s="11"/>
      <c r="I22" s="11"/>
      <c r="J22" s="11"/>
      <c r="K22" s="11"/>
    </row>
    <row r="23" spans="1:11">
      <c r="A23" s="96"/>
      <c r="B23" s="139" t="s">
        <v>30</v>
      </c>
      <c r="C23" s="139"/>
      <c r="D23" s="139"/>
      <c r="E23" s="139"/>
      <c r="F23" s="87" t="s">
        <v>7</v>
      </c>
      <c r="G23" s="80">
        <f>'KL tu non. long mo'!H19</f>
        <v>146.07</v>
      </c>
      <c r="H23" s="11">
        <f>'KL tu non. long mo'!I19</f>
        <v>187.06</v>
      </c>
      <c r="I23" s="11">
        <f t="shared" si="0"/>
        <v>333.13</v>
      </c>
      <c r="J23" s="11">
        <v>154.06</v>
      </c>
      <c r="K23" s="11">
        <f t="shared" si="1"/>
        <v>179.07</v>
      </c>
    </row>
    <row r="24" spans="1:11">
      <c r="A24" s="97"/>
      <c r="B24" s="139" t="s">
        <v>88</v>
      </c>
      <c r="C24" s="139"/>
      <c r="D24" s="139"/>
      <c r="E24" s="139"/>
      <c r="F24" s="87" t="s">
        <v>9</v>
      </c>
      <c r="G24" s="80">
        <f>'KL tu non. long mo'!H20</f>
        <v>307.26</v>
      </c>
      <c r="H24" s="11">
        <f>'KL tu non. long mo'!I20</f>
        <v>372.93</v>
      </c>
      <c r="I24" s="11">
        <f t="shared" si="0"/>
        <v>680.19</v>
      </c>
      <c r="J24" s="11">
        <v>308.11</v>
      </c>
      <c r="K24" s="11">
        <f t="shared" si="1"/>
        <v>372.08</v>
      </c>
    </row>
    <row r="25" spans="1:11">
      <c r="A25" s="97"/>
      <c r="B25" s="139" t="s">
        <v>89</v>
      </c>
      <c r="C25" s="139"/>
      <c r="D25" s="139"/>
      <c r="E25" s="139"/>
      <c r="F25" s="87" t="s">
        <v>9</v>
      </c>
      <c r="G25" s="80">
        <f>'KL tu non. long mo'!H21</f>
        <v>18.75</v>
      </c>
      <c r="H25" s="11">
        <f>'KL tu non. long mo'!I21</f>
        <v>18.75</v>
      </c>
      <c r="I25" s="11">
        <f t="shared" si="0"/>
        <v>37.5</v>
      </c>
      <c r="J25" s="11">
        <v>31.42</v>
      </c>
      <c r="K25" s="11">
        <f t="shared" si="1"/>
        <v>6.08</v>
      </c>
    </row>
    <row r="26" spans="1:11">
      <c r="A26" s="97"/>
      <c r="B26" s="140" t="s">
        <v>90</v>
      </c>
      <c r="C26" s="141"/>
      <c r="D26" s="141"/>
      <c r="E26" s="142"/>
      <c r="F26" s="87" t="s">
        <v>91</v>
      </c>
      <c r="G26" s="80">
        <f>'KL tu non. long mo'!H22</f>
        <v>2</v>
      </c>
      <c r="H26" s="11">
        <f>'KL tu non. long mo'!I22</f>
        <v>2</v>
      </c>
      <c r="I26" s="11">
        <f t="shared" si="0"/>
        <v>4</v>
      </c>
      <c r="J26" s="11">
        <v>4</v>
      </c>
      <c r="K26" s="11">
        <f t="shared" si="1"/>
        <v>0</v>
      </c>
    </row>
    <row r="27" spans="1:11">
      <c r="A27" s="98"/>
      <c r="B27" s="140" t="s">
        <v>181</v>
      </c>
      <c r="C27" s="141"/>
      <c r="D27" s="141"/>
      <c r="E27" s="142"/>
      <c r="F27" s="87" t="s">
        <v>92</v>
      </c>
      <c r="G27" s="80">
        <f>'KL tu non. long mo'!H23</f>
        <v>39.799999999999997</v>
      </c>
      <c r="H27" s="11">
        <f>'KL tu non. long mo'!I23</f>
        <v>39.799999999999997</v>
      </c>
      <c r="I27" s="11">
        <f t="shared" si="0"/>
        <v>79.599999999999994</v>
      </c>
      <c r="J27" s="11">
        <v>0</v>
      </c>
      <c r="K27" s="11">
        <f t="shared" si="1"/>
        <v>79.599999999999994</v>
      </c>
    </row>
    <row r="28" spans="1:11">
      <c r="A28" s="28">
        <v>10</v>
      </c>
      <c r="B28" s="144" t="s">
        <v>96</v>
      </c>
      <c r="C28" s="145"/>
      <c r="D28" s="145"/>
      <c r="E28" s="146"/>
      <c r="F28" s="87"/>
      <c r="G28" s="80"/>
      <c r="H28" s="11"/>
      <c r="I28" s="11">
        <f t="shared" si="0"/>
        <v>0</v>
      </c>
      <c r="J28" s="11">
        <f t="shared" si="0"/>
        <v>0</v>
      </c>
      <c r="K28" s="11">
        <f t="shared" si="1"/>
        <v>0</v>
      </c>
    </row>
    <row r="29" spans="1:11">
      <c r="A29" s="96"/>
      <c r="B29" s="140" t="s">
        <v>93</v>
      </c>
      <c r="C29" s="141"/>
      <c r="D29" s="141"/>
      <c r="E29" s="142"/>
      <c r="F29" s="87" t="s">
        <v>7</v>
      </c>
      <c r="G29" s="27">
        <f>'KL tu non. long mo'!H25</f>
        <v>0.92</v>
      </c>
      <c r="H29" s="11">
        <f>'KL tu non. long mo'!I25</f>
        <v>0.89</v>
      </c>
      <c r="I29" s="11">
        <f t="shared" si="0"/>
        <v>1.81</v>
      </c>
      <c r="J29" s="11">
        <v>7.36</v>
      </c>
      <c r="K29" s="11">
        <f t="shared" si="1"/>
        <v>-5.55</v>
      </c>
    </row>
    <row r="30" spans="1:11">
      <c r="A30" s="98"/>
      <c r="B30" s="140" t="s">
        <v>94</v>
      </c>
      <c r="C30" s="141"/>
      <c r="D30" s="141"/>
      <c r="E30" s="142"/>
      <c r="F30" s="87" t="s">
        <v>7</v>
      </c>
      <c r="G30" s="80">
        <f>'KL tu non. long mo'!H26</f>
        <v>2.65</v>
      </c>
      <c r="H30" s="11">
        <f>'KL tu non. long mo'!I26</f>
        <v>2.5</v>
      </c>
      <c r="I30" s="11">
        <f t="shared" si="0"/>
        <v>5.15</v>
      </c>
      <c r="J30" s="11">
        <v>5.19</v>
      </c>
      <c r="K30" s="11">
        <f t="shared" si="1"/>
        <v>-0.04</v>
      </c>
    </row>
    <row r="31" spans="1:11">
      <c r="A31" s="79">
        <v>11</v>
      </c>
      <c r="B31" s="144" t="s">
        <v>104</v>
      </c>
      <c r="C31" s="145"/>
      <c r="D31" s="145"/>
      <c r="E31" s="146"/>
      <c r="F31" s="87"/>
      <c r="I31" s="11"/>
      <c r="J31" s="11"/>
      <c r="K31" s="11"/>
    </row>
    <row r="32" spans="1:11">
      <c r="A32" s="96"/>
      <c r="B32" s="140" t="s">
        <v>105</v>
      </c>
      <c r="C32" s="141"/>
      <c r="D32" s="141"/>
      <c r="E32" s="142"/>
      <c r="F32" s="87" t="s">
        <v>3</v>
      </c>
      <c r="G32" s="80">
        <v>24</v>
      </c>
      <c r="H32" s="11">
        <v>23.3</v>
      </c>
      <c r="I32" s="11">
        <f t="shared" si="0"/>
        <v>47.3</v>
      </c>
      <c r="J32" s="11">
        <v>48.46</v>
      </c>
      <c r="K32" s="11">
        <f t="shared" si="1"/>
        <v>-1.1599999999999999</v>
      </c>
    </row>
    <row r="33" spans="1:11">
      <c r="A33" s="97"/>
      <c r="B33" s="140" t="s">
        <v>106</v>
      </c>
      <c r="C33" s="141"/>
      <c r="D33" s="141"/>
      <c r="E33" s="142"/>
      <c r="F33" s="87" t="s">
        <v>7</v>
      </c>
      <c r="G33" s="80">
        <f>'KL tu non. long mo'!H29+'KL duong dau cau'!AC12</f>
        <v>188.68</v>
      </c>
      <c r="H33" s="11">
        <f>'KL tu non. long mo'!I29+'KL duong dau cau'!AC22</f>
        <v>97.41</v>
      </c>
      <c r="I33" s="11">
        <f t="shared" si="0"/>
        <v>286.08999999999997</v>
      </c>
      <c r="J33" s="11">
        <v>246.83</v>
      </c>
      <c r="K33" s="11">
        <f t="shared" si="1"/>
        <v>39.26</v>
      </c>
    </row>
    <row r="34" spans="1:11">
      <c r="A34" s="97"/>
      <c r="B34" s="140" t="s">
        <v>107</v>
      </c>
      <c r="C34" s="141"/>
      <c r="D34" s="141"/>
      <c r="E34" s="142"/>
      <c r="F34" s="87" t="s">
        <v>7</v>
      </c>
      <c r="G34" s="80">
        <f>'KL tu non. long mo'!H30+'KL duong dau cau'!AD12</f>
        <v>8.1199999999999992</v>
      </c>
      <c r="H34" s="11">
        <f>'KL tu non. long mo'!I30+'KL duong dau cau'!AD22</f>
        <v>6.32</v>
      </c>
      <c r="I34" s="11">
        <f t="shared" si="0"/>
        <v>14.44</v>
      </c>
      <c r="J34" s="11">
        <v>19.38</v>
      </c>
      <c r="K34" s="11">
        <f t="shared" si="1"/>
        <v>-4.9400000000000004</v>
      </c>
    </row>
    <row r="35" spans="1:11">
      <c r="A35" s="97"/>
      <c r="B35" s="140" t="s">
        <v>190</v>
      </c>
      <c r="C35" s="141"/>
      <c r="D35" s="141"/>
      <c r="E35" s="142"/>
      <c r="F35" s="87" t="s">
        <v>28</v>
      </c>
      <c r="G35" s="80">
        <f>'KL tu non. long mo'!H31</f>
        <v>12</v>
      </c>
      <c r="H35" s="80">
        <f>'KL tu non. long mo'!I31</f>
        <v>12</v>
      </c>
      <c r="I35" s="11">
        <f t="shared" ref="I35" si="2">G35+H35</f>
        <v>24</v>
      </c>
      <c r="J35" s="11">
        <v>0</v>
      </c>
      <c r="K35" s="11">
        <f t="shared" si="1"/>
        <v>24</v>
      </c>
    </row>
    <row r="36" spans="1:11">
      <c r="A36" s="97"/>
      <c r="B36" s="140" t="s">
        <v>182</v>
      </c>
      <c r="C36" s="141"/>
      <c r="D36" s="141"/>
      <c r="E36" s="142"/>
      <c r="F36" s="87" t="s">
        <v>7</v>
      </c>
      <c r="G36" s="80">
        <f>'KL tu non. long mo'!H32+'KL duong dau cau'!AA12</f>
        <v>140.07</v>
      </c>
      <c r="H36" s="11">
        <f>'KL tu non. long mo'!I32+'KL duong dau cau'!AA22</f>
        <v>127.9</v>
      </c>
      <c r="I36" s="11">
        <f t="shared" si="0"/>
        <v>267.97000000000003</v>
      </c>
      <c r="J36" s="11">
        <v>712.72</v>
      </c>
      <c r="K36" s="11">
        <f t="shared" si="1"/>
        <v>-444.75</v>
      </c>
    </row>
    <row r="37" spans="1:11">
      <c r="A37" s="98"/>
      <c r="B37" s="140" t="s">
        <v>180</v>
      </c>
      <c r="C37" s="141"/>
      <c r="D37" s="141"/>
      <c r="E37" s="142"/>
      <c r="F37" s="87" t="s">
        <v>7</v>
      </c>
      <c r="G37" s="80">
        <f>'KL tu non. long mo'!H33+'KL duong dau cau'!AB12</f>
        <v>52.83</v>
      </c>
      <c r="H37" s="11">
        <f>'KL tu non. long mo'!I33+'KL duong dau cau'!AB22</f>
        <v>61.22</v>
      </c>
      <c r="I37" s="11">
        <f t="shared" si="0"/>
        <v>114.05</v>
      </c>
      <c r="J37" s="11">
        <v>357.48</v>
      </c>
      <c r="K37" s="11">
        <f t="shared" si="1"/>
        <v>-243.43</v>
      </c>
    </row>
  </sheetData>
  <mergeCells count="37">
    <mergeCell ref="B36:E36"/>
    <mergeCell ref="B37:E37"/>
    <mergeCell ref="A1:K1"/>
    <mergeCell ref="B35:E35"/>
    <mergeCell ref="B31:E31"/>
    <mergeCell ref="B32:E32"/>
    <mergeCell ref="B33:E33"/>
    <mergeCell ref="B34:E34"/>
    <mergeCell ref="B15:E15"/>
    <mergeCell ref="B30:E30"/>
    <mergeCell ref="B16:E16"/>
    <mergeCell ref="B17:E17"/>
    <mergeCell ref="B22:E22"/>
    <mergeCell ref="B25:E25"/>
    <mergeCell ref="B26:E26"/>
    <mergeCell ref="B27:E27"/>
    <mergeCell ref="B28:E28"/>
    <mergeCell ref="B29:E29"/>
    <mergeCell ref="B23:E23"/>
    <mergeCell ref="B24:E24"/>
    <mergeCell ref="B10:E10"/>
    <mergeCell ref="B12:E12"/>
    <mergeCell ref="B13:E13"/>
    <mergeCell ref="B14:E14"/>
    <mergeCell ref="B19:E19"/>
    <mergeCell ref="B20:E20"/>
    <mergeCell ref="B21:E21"/>
    <mergeCell ref="B5:E5"/>
    <mergeCell ref="B18:E18"/>
    <mergeCell ref="B3:E3"/>
    <mergeCell ref="B2:E2"/>
    <mergeCell ref="B8:E8"/>
    <mergeCell ref="B4:E4"/>
    <mergeCell ref="B6:E6"/>
    <mergeCell ref="B9:E9"/>
    <mergeCell ref="B11:E11"/>
    <mergeCell ref="B7:E7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4:M27"/>
  <sheetViews>
    <sheetView topLeftCell="A4" workbookViewId="0">
      <selection activeCell="I23" sqref="I23"/>
    </sheetView>
  </sheetViews>
  <sheetFormatPr defaultRowHeight="15"/>
  <sheetData>
    <row r="4" spans="3:13">
      <c r="H4" t="s">
        <v>85</v>
      </c>
    </row>
    <row r="6" spans="3:13" ht="25.5">
      <c r="C6" s="157" t="s">
        <v>140</v>
      </c>
      <c r="D6" s="157" t="s">
        <v>139</v>
      </c>
      <c r="E6" s="19" t="s">
        <v>134</v>
      </c>
      <c r="F6" s="19" t="s">
        <v>62</v>
      </c>
      <c r="G6" s="19" t="s">
        <v>73</v>
      </c>
      <c r="H6" s="19" t="s">
        <v>63</v>
      </c>
      <c r="I6" s="19" t="s">
        <v>67</v>
      </c>
      <c r="J6" s="19" t="s">
        <v>68</v>
      </c>
      <c r="K6" s="19" t="s">
        <v>137</v>
      </c>
      <c r="L6" s="19" t="s">
        <v>138</v>
      </c>
      <c r="M6" s="19" t="s">
        <v>64</v>
      </c>
    </row>
    <row r="7" spans="3:13">
      <c r="C7" s="157"/>
      <c r="D7" s="157"/>
      <c r="E7" s="20" t="s">
        <v>47</v>
      </c>
      <c r="F7" s="20" t="s">
        <v>47</v>
      </c>
      <c r="G7" s="20" t="s">
        <v>49</v>
      </c>
      <c r="H7" s="20" t="s">
        <v>48</v>
      </c>
      <c r="I7" s="20" t="s">
        <v>50</v>
      </c>
      <c r="J7" s="20" t="s">
        <v>51</v>
      </c>
      <c r="K7" s="20" t="s">
        <v>52</v>
      </c>
      <c r="L7" s="20" t="s">
        <v>52</v>
      </c>
      <c r="M7" s="20" t="s">
        <v>65</v>
      </c>
    </row>
    <row r="8" spans="3:13">
      <c r="C8" s="21" t="s">
        <v>53</v>
      </c>
      <c r="D8" s="21" t="s">
        <v>54</v>
      </c>
      <c r="E8" s="21">
        <v>12</v>
      </c>
      <c r="F8" s="21">
        <v>1734</v>
      </c>
      <c r="G8" s="21">
        <v>50</v>
      </c>
      <c r="H8" s="22">
        <f>+G8*F8/1000</f>
        <v>86.7</v>
      </c>
      <c r="I8" s="23">
        <v>0.88800000000000001</v>
      </c>
      <c r="J8" s="22">
        <f>+I8*H8</f>
        <v>76.989999999999995</v>
      </c>
      <c r="K8" s="158">
        <f>((0.1525)*9.837+(0.55*0.6*0.1))</f>
        <v>1.53</v>
      </c>
      <c r="L8" s="158">
        <f>0.08*9.937</f>
        <v>0.79</v>
      </c>
      <c r="M8" s="155">
        <f>10</f>
        <v>10</v>
      </c>
    </row>
    <row r="9" spans="3:13">
      <c r="C9" s="21" t="s">
        <v>55</v>
      </c>
      <c r="D9" s="21" t="s">
        <v>54</v>
      </c>
      <c r="E9" s="21">
        <v>12</v>
      </c>
      <c r="F9" s="21">
        <v>9837</v>
      </c>
      <c r="G9" s="21">
        <v>14</v>
      </c>
      <c r="H9" s="22">
        <f t="shared" ref="H9:H13" si="0">+G9*F9/1000</f>
        <v>137.72</v>
      </c>
      <c r="I9" s="23">
        <v>0.88800000000000001</v>
      </c>
      <c r="J9" s="22">
        <f t="shared" ref="J9:J13" si="1">+I9*H9</f>
        <v>122.3</v>
      </c>
      <c r="K9" s="158"/>
      <c r="L9" s="158"/>
      <c r="M9" s="155"/>
    </row>
    <row r="10" spans="3:13">
      <c r="C10" s="21" t="s">
        <v>56</v>
      </c>
      <c r="D10" s="21" t="s">
        <v>54</v>
      </c>
      <c r="E10" s="21">
        <v>12</v>
      </c>
      <c r="F10" s="21">
        <v>520</v>
      </c>
      <c r="G10" s="21">
        <v>3</v>
      </c>
      <c r="H10" s="22">
        <f t="shared" si="0"/>
        <v>1.56</v>
      </c>
      <c r="I10" s="23">
        <v>0.88800000000000001</v>
      </c>
      <c r="J10" s="22">
        <f t="shared" si="1"/>
        <v>1.39</v>
      </c>
      <c r="K10" s="158"/>
      <c r="L10" s="158"/>
      <c r="M10" s="155"/>
    </row>
    <row r="11" spans="3:13">
      <c r="C11" s="21" t="s">
        <v>57</v>
      </c>
      <c r="D11" s="21" t="s">
        <v>54</v>
      </c>
      <c r="E11" s="21">
        <v>12</v>
      </c>
      <c r="F11" s="21">
        <v>460</v>
      </c>
      <c r="G11" s="21">
        <v>2</v>
      </c>
      <c r="H11" s="22">
        <f t="shared" si="0"/>
        <v>0.92</v>
      </c>
      <c r="I11" s="23">
        <v>0.88800000000000001</v>
      </c>
      <c r="J11" s="22">
        <f t="shared" si="1"/>
        <v>0.82</v>
      </c>
      <c r="K11" s="158"/>
      <c r="L11" s="158"/>
      <c r="M11" s="155"/>
    </row>
    <row r="12" spans="3:13">
      <c r="C12" s="24" t="s">
        <v>58</v>
      </c>
      <c r="D12" s="21" t="s">
        <v>135</v>
      </c>
      <c r="E12" s="21" t="s">
        <v>59</v>
      </c>
      <c r="F12" s="21">
        <v>9937</v>
      </c>
      <c r="G12" s="21">
        <v>2</v>
      </c>
      <c r="H12" s="22">
        <f t="shared" si="0"/>
        <v>19.87</v>
      </c>
      <c r="I12" s="25">
        <v>5.72</v>
      </c>
      <c r="J12" s="22">
        <f t="shared" si="1"/>
        <v>113.66</v>
      </c>
      <c r="K12" s="158"/>
      <c r="L12" s="158"/>
      <c r="M12" s="155"/>
    </row>
    <row r="13" spans="3:13">
      <c r="C13" s="24" t="s">
        <v>60</v>
      </c>
      <c r="D13" s="21" t="s">
        <v>136</v>
      </c>
      <c r="E13" s="21" t="s">
        <v>61</v>
      </c>
      <c r="F13" s="21">
        <v>50</v>
      </c>
      <c r="G13" s="21">
        <v>40</v>
      </c>
      <c r="H13" s="22">
        <f t="shared" si="0"/>
        <v>2</v>
      </c>
      <c r="I13" s="25">
        <v>2.3359999999999999</v>
      </c>
      <c r="J13" s="22">
        <f t="shared" si="1"/>
        <v>4.67</v>
      </c>
      <c r="K13" s="158"/>
      <c r="L13" s="158"/>
      <c r="M13" s="155"/>
    </row>
    <row r="14" spans="3:13">
      <c r="C14" s="156" t="s">
        <v>41</v>
      </c>
      <c r="D14" s="156"/>
      <c r="E14" s="156"/>
      <c r="F14" s="156"/>
      <c r="G14" s="156"/>
      <c r="H14" s="156"/>
      <c r="I14" s="156"/>
      <c r="J14" s="26">
        <f>SUM(J8:J13)</f>
        <v>319.83</v>
      </c>
      <c r="K14" s="26">
        <f>SUM(K8:K13)</f>
        <v>1.53</v>
      </c>
      <c r="L14" s="26">
        <f>SUM(L8:L13)</f>
        <v>0.79</v>
      </c>
      <c r="M14" s="26">
        <f>SUM(M8:M13)</f>
        <v>10</v>
      </c>
    </row>
    <row r="17" spans="3:13">
      <c r="H17" t="s">
        <v>84</v>
      </c>
    </row>
    <row r="19" spans="3:13" ht="25.5">
      <c r="C19" s="157" t="s">
        <v>66</v>
      </c>
      <c r="D19" s="157" t="s">
        <v>139</v>
      </c>
      <c r="E19" s="33" t="s">
        <v>134</v>
      </c>
      <c r="F19" s="33" t="s">
        <v>62</v>
      </c>
      <c r="G19" s="33" t="s">
        <v>73</v>
      </c>
      <c r="H19" s="33" t="s">
        <v>63</v>
      </c>
      <c r="I19" s="33" t="s">
        <v>67</v>
      </c>
      <c r="J19" s="33" t="s">
        <v>68</v>
      </c>
      <c r="K19" s="33" t="s">
        <v>137</v>
      </c>
      <c r="L19" s="33" t="s">
        <v>138</v>
      </c>
      <c r="M19" s="33" t="s">
        <v>64</v>
      </c>
    </row>
    <row r="20" spans="3:13">
      <c r="C20" s="157"/>
      <c r="D20" s="157"/>
      <c r="E20" s="32" t="s">
        <v>47</v>
      </c>
      <c r="F20" s="32" t="s">
        <v>47</v>
      </c>
      <c r="G20" s="32" t="s">
        <v>49</v>
      </c>
      <c r="H20" s="32" t="s">
        <v>48</v>
      </c>
      <c r="I20" s="32" t="s">
        <v>50</v>
      </c>
      <c r="J20" s="32" t="s">
        <v>51</v>
      </c>
      <c r="K20" s="32" t="s">
        <v>52</v>
      </c>
      <c r="L20" s="32" t="s">
        <v>52</v>
      </c>
      <c r="M20" s="32" t="s">
        <v>65</v>
      </c>
    </row>
    <row r="21" spans="3:13">
      <c r="C21" s="31" t="s">
        <v>53</v>
      </c>
      <c r="D21" s="31" t="s">
        <v>54</v>
      </c>
      <c r="E21" s="31">
        <v>12</v>
      </c>
      <c r="F21" s="31">
        <v>1846</v>
      </c>
      <c r="G21" s="31">
        <v>36</v>
      </c>
      <c r="H21" s="22">
        <f>+G21*F21/1000</f>
        <v>66.459999999999994</v>
      </c>
      <c r="I21" s="23">
        <v>0.88800000000000001</v>
      </c>
      <c r="J21" s="22">
        <f>+I21*H21</f>
        <v>59.02</v>
      </c>
      <c r="K21" s="158">
        <f>((0.1525+0.175)/2*6.946+(0.55*0.6*0.1))</f>
        <v>1.17</v>
      </c>
      <c r="L21" s="158">
        <f>0.08*7.046</f>
        <v>0.56000000000000005</v>
      </c>
      <c r="M21" s="155">
        <f>7</f>
        <v>7</v>
      </c>
    </row>
    <row r="22" spans="3:13">
      <c r="C22" s="31" t="s">
        <v>55</v>
      </c>
      <c r="D22" s="31" t="s">
        <v>54</v>
      </c>
      <c r="E22" s="31">
        <v>12</v>
      </c>
      <c r="F22" s="31">
        <v>6946</v>
      </c>
      <c r="G22" s="31">
        <v>14</v>
      </c>
      <c r="H22" s="22">
        <f t="shared" ref="H22:H26" si="2">+G22*F22/1000</f>
        <v>97.24</v>
      </c>
      <c r="I22" s="23">
        <v>0.88800000000000001</v>
      </c>
      <c r="J22" s="22">
        <f t="shared" ref="J22:J26" si="3">+I22*H22</f>
        <v>86.35</v>
      </c>
      <c r="K22" s="158"/>
      <c r="L22" s="158"/>
      <c r="M22" s="155"/>
    </row>
    <row r="23" spans="3:13">
      <c r="C23" s="31" t="s">
        <v>56</v>
      </c>
      <c r="D23" s="31" t="s">
        <v>54</v>
      </c>
      <c r="E23" s="31">
        <v>12</v>
      </c>
      <c r="F23" s="34">
        <v>520</v>
      </c>
      <c r="G23" s="34">
        <v>3</v>
      </c>
      <c r="H23" s="22">
        <f t="shared" si="2"/>
        <v>1.56</v>
      </c>
      <c r="I23" s="23">
        <v>0.88800000000000001</v>
      </c>
      <c r="J23" s="22">
        <f t="shared" si="3"/>
        <v>1.39</v>
      </c>
      <c r="K23" s="158"/>
      <c r="L23" s="158"/>
      <c r="M23" s="155"/>
    </row>
    <row r="24" spans="3:13">
      <c r="C24" s="31" t="s">
        <v>57</v>
      </c>
      <c r="D24" s="31" t="s">
        <v>54</v>
      </c>
      <c r="E24" s="31">
        <v>12</v>
      </c>
      <c r="F24" s="34">
        <v>460</v>
      </c>
      <c r="G24" s="34">
        <v>2</v>
      </c>
      <c r="H24" s="22">
        <f t="shared" si="2"/>
        <v>0.92</v>
      </c>
      <c r="I24" s="23">
        <v>0.88800000000000001</v>
      </c>
      <c r="J24" s="22">
        <f t="shared" si="3"/>
        <v>0.82</v>
      </c>
      <c r="K24" s="158"/>
      <c r="L24" s="158"/>
      <c r="M24" s="155"/>
    </row>
    <row r="25" spans="3:13">
      <c r="C25" s="24" t="s">
        <v>58</v>
      </c>
      <c r="D25" s="31" t="s">
        <v>135</v>
      </c>
      <c r="E25" s="31" t="s">
        <v>59</v>
      </c>
      <c r="F25" s="31">
        <v>7046</v>
      </c>
      <c r="G25" s="31">
        <v>2</v>
      </c>
      <c r="H25" s="22">
        <f t="shared" si="2"/>
        <v>14.09</v>
      </c>
      <c r="I25" s="25">
        <v>5.72</v>
      </c>
      <c r="J25" s="22">
        <f t="shared" si="3"/>
        <v>80.59</v>
      </c>
      <c r="K25" s="158"/>
      <c r="L25" s="158"/>
      <c r="M25" s="155"/>
    </row>
    <row r="26" spans="3:13">
      <c r="C26" s="24" t="s">
        <v>60</v>
      </c>
      <c r="D26" s="31" t="s">
        <v>136</v>
      </c>
      <c r="E26" s="31" t="s">
        <v>61</v>
      </c>
      <c r="F26" s="31">
        <v>50</v>
      </c>
      <c r="G26" s="31">
        <v>30</v>
      </c>
      <c r="H26" s="22">
        <f t="shared" si="2"/>
        <v>1.5</v>
      </c>
      <c r="I26" s="25">
        <v>2.3359999999999999</v>
      </c>
      <c r="J26" s="22">
        <f t="shared" si="3"/>
        <v>3.5</v>
      </c>
      <c r="K26" s="158"/>
      <c r="L26" s="158"/>
      <c r="M26" s="155"/>
    </row>
    <row r="27" spans="3:13">
      <c r="C27" s="156" t="s">
        <v>41</v>
      </c>
      <c r="D27" s="156"/>
      <c r="E27" s="156"/>
      <c r="F27" s="156"/>
      <c r="G27" s="156"/>
      <c r="H27" s="156"/>
      <c r="I27" s="156"/>
      <c r="J27" s="26">
        <f>SUM(J21:J26)</f>
        <v>231.67</v>
      </c>
      <c r="K27" s="26">
        <f>SUM(K21:K26)</f>
        <v>1.17</v>
      </c>
      <c r="L27" s="26">
        <f>SUM(L21:L26)</f>
        <v>0.56000000000000005</v>
      </c>
      <c r="M27" s="26">
        <f>SUM(M21:M26)</f>
        <v>7</v>
      </c>
    </row>
  </sheetData>
  <mergeCells count="12">
    <mergeCell ref="C27:I27"/>
    <mergeCell ref="C19:C20"/>
    <mergeCell ref="D19:D20"/>
    <mergeCell ref="K21:K26"/>
    <mergeCell ref="L21:L26"/>
    <mergeCell ref="M21:M26"/>
    <mergeCell ref="M8:M13"/>
    <mergeCell ref="C14:I14"/>
    <mergeCell ref="C6:C7"/>
    <mergeCell ref="D6:D7"/>
    <mergeCell ref="K8:K13"/>
    <mergeCell ref="L8:L1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"/>
  <sheetViews>
    <sheetView workbookViewId="0">
      <selection activeCell="G18" sqref="G18"/>
    </sheetView>
  </sheetViews>
  <sheetFormatPr defaultRowHeight="12.75"/>
  <cols>
    <col min="1" max="1" width="8.88671875" style="91"/>
    <col min="2" max="2" width="8.5546875" style="91" customWidth="1"/>
    <col min="3" max="3" width="8.88671875" style="91"/>
    <col min="4" max="4" width="9" style="91" customWidth="1"/>
    <col min="5" max="5" width="8.88671875" style="91"/>
    <col min="6" max="6" width="9.21875" style="91" customWidth="1"/>
    <col min="7" max="7" width="11.109375" style="91" customWidth="1"/>
    <col min="8" max="8" width="9" style="91" customWidth="1"/>
    <col min="9" max="257" width="8.88671875" style="91"/>
    <col min="258" max="258" width="8.5546875" style="91" customWidth="1"/>
    <col min="259" max="259" width="8.88671875" style="91"/>
    <col min="260" max="260" width="9" style="91" customWidth="1"/>
    <col min="261" max="261" width="8.88671875" style="91"/>
    <col min="262" max="262" width="9.21875" style="91" customWidth="1"/>
    <col min="263" max="263" width="11.109375" style="91" customWidth="1"/>
    <col min="264" max="264" width="9" style="91" customWidth="1"/>
    <col min="265" max="513" width="8.88671875" style="91"/>
    <col min="514" max="514" width="8.5546875" style="91" customWidth="1"/>
    <col min="515" max="515" width="8.88671875" style="91"/>
    <col min="516" max="516" width="9" style="91" customWidth="1"/>
    <col min="517" max="517" width="8.88671875" style="91"/>
    <col min="518" max="518" width="9.21875" style="91" customWidth="1"/>
    <col min="519" max="519" width="11.109375" style="91" customWidth="1"/>
    <col min="520" max="520" width="9" style="91" customWidth="1"/>
    <col min="521" max="769" width="8.88671875" style="91"/>
    <col min="770" max="770" width="8.5546875" style="91" customWidth="1"/>
    <col min="771" max="771" width="8.88671875" style="91"/>
    <col min="772" max="772" width="9" style="91" customWidth="1"/>
    <col min="773" max="773" width="8.88671875" style="91"/>
    <col min="774" max="774" width="9.21875" style="91" customWidth="1"/>
    <col min="775" max="775" width="11.109375" style="91" customWidth="1"/>
    <col min="776" max="776" width="9" style="91" customWidth="1"/>
    <col min="777" max="1025" width="8.88671875" style="91"/>
    <col min="1026" max="1026" width="8.5546875" style="91" customWidth="1"/>
    <col min="1027" max="1027" width="8.88671875" style="91"/>
    <col min="1028" max="1028" width="9" style="91" customWidth="1"/>
    <col min="1029" max="1029" width="8.88671875" style="91"/>
    <col min="1030" max="1030" width="9.21875" style="91" customWidth="1"/>
    <col min="1031" max="1031" width="11.109375" style="91" customWidth="1"/>
    <col min="1032" max="1032" width="9" style="91" customWidth="1"/>
    <col min="1033" max="1281" width="8.88671875" style="91"/>
    <col min="1282" max="1282" width="8.5546875" style="91" customWidth="1"/>
    <col min="1283" max="1283" width="8.88671875" style="91"/>
    <col min="1284" max="1284" width="9" style="91" customWidth="1"/>
    <col min="1285" max="1285" width="8.88671875" style="91"/>
    <col min="1286" max="1286" width="9.21875" style="91" customWidth="1"/>
    <col min="1287" max="1287" width="11.109375" style="91" customWidth="1"/>
    <col min="1288" max="1288" width="9" style="91" customWidth="1"/>
    <col min="1289" max="1537" width="8.88671875" style="91"/>
    <col min="1538" max="1538" width="8.5546875" style="91" customWidth="1"/>
    <col min="1539" max="1539" width="8.88671875" style="91"/>
    <col min="1540" max="1540" width="9" style="91" customWidth="1"/>
    <col min="1541" max="1541" width="8.88671875" style="91"/>
    <col min="1542" max="1542" width="9.21875" style="91" customWidth="1"/>
    <col min="1543" max="1543" width="11.109375" style="91" customWidth="1"/>
    <col min="1544" max="1544" width="9" style="91" customWidth="1"/>
    <col min="1545" max="1793" width="8.88671875" style="91"/>
    <col min="1794" max="1794" width="8.5546875" style="91" customWidth="1"/>
    <col min="1795" max="1795" width="8.88671875" style="91"/>
    <col min="1796" max="1796" width="9" style="91" customWidth="1"/>
    <col min="1797" max="1797" width="8.88671875" style="91"/>
    <col min="1798" max="1798" width="9.21875" style="91" customWidth="1"/>
    <col min="1799" max="1799" width="11.109375" style="91" customWidth="1"/>
    <col min="1800" max="1800" width="9" style="91" customWidth="1"/>
    <col min="1801" max="2049" width="8.88671875" style="91"/>
    <col min="2050" max="2050" width="8.5546875" style="91" customWidth="1"/>
    <col min="2051" max="2051" width="8.88671875" style="91"/>
    <col min="2052" max="2052" width="9" style="91" customWidth="1"/>
    <col min="2053" max="2053" width="8.88671875" style="91"/>
    <col min="2054" max="2054" width="9.21875" style="91" customWidth="1"/>
    <col min="2055" max="2055" width="11.109375" style="91" customWidth="1"/>
    <col min="2056" max="2056" width="9" style="91" customWidth="1"/>
    <col min="2057" max="2305" width="8.88671875" style="91"/>
    <col min="2306" max="2306" width="8.5546875" style="91" customWidth="1"/>
    <col min="2307" max="2307" width="8.88671875" style="91"/>
    <col min="2308" max="2308" width="9" style="91" customWidth="1"/>
    <col min="2309" max="2309" width="8.88671875" style="91"/>
    <col min="2310" max="2310" width="9.21875" style="91" customWidth="1"/>
    <col min="2311" max="2311" width="11.109375" style="91" customWidth="1"/>
    <col min="2312" max="2312" width="9" style="91" customWidth="1"/>
    <col min="2313" max="2561" width="8.88671875" style="91"/>
    <col min="2562" max="2562" width="8.5546875" style="91" customWidth="1"/>
    <col min="2563" max="2563" width="8.88671875" style="91"/>
    <col min="2564" max="2564" width="9" style="91" customWidth="1"/>
    <col min="2565" max="2565" width="8.88671875" style="91"/>
    <col min="2566" max="2566" width="9.21875" style="91" customWidth="1"/>
    <col min="2567" max="2567" width="11.109375" style="91" customWidth="1"/>
    <col min="2568" max="2568" width="9" style="91" customWidth="1"/>
    <col min="2569" max="2817" width="8.88671875" style="91"/>
    <col min="2818" max="2818" width="8.5546875" style="91" customWidth="1"/>
    <col min="2819" max="2819" width="8.88671875" style="91"/>
    <col min="2820" max="2820" width="9" style="91" customWidth="1"/>
    <col min="2821" max="2821" width="8.88671875" style="91"/>
    <col min="2822" max="2822" width="9.21875" style="91" customWidth="1"/>
    <col min="2823" max="2823" width="11.109375" style="91" customWidth="1"/>
    <col min="2824" max="2824" width="9" style="91" customWidth="1"/>
    <col min="2825" max="3073" width="8.88671875" style="91"/>
    <col min="3074" max="3074" width="8.5546875" style="91" customWidth="1"/>
    <col min="3075" max="3075" width="8.88671875" style="91"/>
    <col min="3076" max="3076" width="9" style="91" customWidth="1"/>
    <col min="3077" max="3077" width="8.88671875" style="91"/>
    <col min="3078" max="3078" width="9.21875" style="91" customWidth="1"/>
    <col min="3079" max="3079" width="11.109375" style="91" customWidth="1"/>
    <col min="3080" max="3080" width="9" style="91" customWidth="1"/>
    <col min="3081" max="3329" width="8.88671875" style="91"/>
    <col min="3330" max="3330" width="8.5546875" style="91" customWidth="1"/>
    <col min="3331" max="3331" width="8.88671875" style="91"/>
    <col min="3332" max="3332" width="9" style="91" customWidth="1"/>
    <col min="3333" max="3333" width="8.88671875" style="91"/>
    <col min="3334" max="3334" width="9.21875" style="91" customWidth="1"/>
    <col min="3335" max="3335" width="11.109375" style="91" customWidth="1"/>
    <col min="3336" max="3336" width="9" style="91" customWidth="1"/>
    <col min="3337" max="3585" width="8.88671875" style="91"/>
    <col min="3586" max="3586" width="8.5546875" style="91" customWidth="1"/>
    <col min="3587" max="3587" width="8.88671875" style="91"/>
    <col min="3588" max="3588" width="9" style="91" customWidth="1"/>
    <col min="3589" max="3589" width="8.88671875" style="91"/>
    <col min="3590" max="3590" width="9.21875" style="91" customWidth="1"/>
    <col min="3591" max="3591" width="11.109375" style="91" customWidth="1"/>
    <col min="3592" max="3592" width="9" style="91" customWidth="1"/>
    <col min="3593" max="3841" width="8.88671875" style="91"/>
    <col min="3842" max="3842" width="8.5546875" style="91" customWidth="1"/>
    <col min="3843" max="3843" width="8.88671875" style="91"/>
    <col min="3844" max="3844" width="9" style="91" customWidth="1"/>
    <col min="3845" max="3845" width="8.88671875" style="91"/>
    <col min="3846" max="3846" width="9.21875" style="91" customWidth="1"/>
    <col min="3847" max="3847" width="11.109375" style="91" customWidth="1"/>
    <col min="3848" max="3848" width="9" style="91" customWidth="1"/>
    <col min="3849" max="4097" width="8.88671875" style="91"/>
    <col min="4098" max="4098" width="8.5546875" style="91" customWidth="1"/>
    <col min="4099" max="4099" width="8.88671875" style="91"/>
    <col min="4100" max="4100" width="9" style="91" customWidth="1"/>
    <col min="4101" max="4101" width="8.88671875" style="91"/>
    <col min="4102" max="4102" width="9.21875" style="91" customWidth="1"/>
    <col min="4103" max="4103" width="11.109375" style="91" customWidth="1"/>
    <col min="4104" max="4104" width="9" style="91" customWidth="1"/>
    <col min="4105" max="4353" width="8.88671875" style="91"/>
    <col min="4354" max="4354" width="8.5546875" style="91" customWidth="1"/>
    <col min="4355" max="4355" width="8.88671875" style="91"/>
    <col min="4356" max="4356" width="9" style="91" customWidth="1"/>
    <col min="4357" max="4357" width="8.88671875" style="91"/>
    <col min="4358" max="4358" width="9.21875" style="91" customWidth="1"/>
    <col min="4359" max="4359" width="11.109375" style="91" customWidth="1"/>
    <col min="4360" max="4360" width="9" style="91" customWidth="1"/>
    <col min="4361" max="4609" width="8.88671875" style="91"/>
    <col min="4610" max="4610" width="8.5546875" style="91" customWidth="1"/>
    <col min="4611" max="4611" width="8.88671875" style="91"/>
    <col min="4612" max="4612" width="9" style="91" customWidth="1"/>
    <col min="4613" max="4613" width="8.88671875" style="91"/>
    <col min="4614" max="4614" width="9.21875" style="91" customWidth="1"/>
    <col min="4615" max="4615" width="11.109375" style="91" customWidth="1"/>
    <col min="4616" max="4616" width="9" style="91" customWidth="1"/>
    <col min="4617" max="4865" width="8.88671875" style="91"/>
    <col min="4866" max="4866" width="8.5546875" style="91" customWidth="1"/>
    <col min="4867" max="4867" width="8.88671875" style="91"/>
    <col min="4868" max="4868" width="9" style="91" customWidth="1"/>
    <col min="4869" max="4869" width="8.88671875" style="91"/>
    <col min="4870" max="4870" width="9.21875" style="91" customWidth="1"/>
    <col min="4871" max="4871" width="11.109375" style="91" customWidth="1"/>
    <col min="4872" max="4872" width="9" style="91" customWidth="1"/>
    <col min="4873" max="5121" width="8.88671875" style="91"/>
    <col min="5122" max="5122" width="8.5546875" style="91" customWidth="1"/>
    <col min="5123" max="5123" width="8.88671875" style="91"/>
    <col min="5124" max="5124" width="9" style="91" customWidth="1"/>
    <col min="5125" max="5125" width="8.88671875" style="91"/>
    <col min="5126" max="5126" width="9.21875" style="91" customWidth="1"/>
    <col min="5127" max="5127" width="11.109375" style="91" customWidth="1"/>
    <col min="5128" max="5128" width="9" style="91" customWidth="1"/>
    <col min="5129" max="5377" width="8.88671875" style="91"/>
    <col min="5378" max="5378" width="8.5546875" style="91" customWidth="1"/>
    <col min="5379" max="5379" width="8.88671875" style="91"/>
    <col min="5380" max="5380" width="9" style="91" customWidth="1"/>
    <col min="5381" max="5381" width="8.88671875" style="91"/>
    <col min="5382" max="5382" width="9.21875" style="91" customWidth="1"/>
    <col min="5383" max="5383" width="11.109375" style="91" customWidth="1"/>
    <col min="5384" max="5384" width="9" style="91" customWidth="1"/>
    <col min="5385" max="5633" width="8.88671875" style="91"/>
    <col min="5634" max="5634" width="8.5546875" style="91" customWidth="1"/>
    <col min="5635" max="5635" width="8.88671875" style="91"/>
    <col min="5636" max="5636" width="9" style="91" customWidth="1"/>
    <col min="5637" max="5637" width="8.88671875" style="91"/>
    <col min="5638" max="5638" width="9.21875" style="91" customWidth="1"/>
    <col min="5639" max="5639" width="11.109375" style="91" customWidth="1"/>
    <col min="5640" max="5640" width="9" style="91" customWidth="1"/>
    <col min="5641" max="5889" width="8.88671875" style="91"/>
    <col min="5890" max="5890" width="8.5546875" style="91" customWidth="1"/>
    <col min="5891" max="5891" width="8.88671875" style="91"/>
    <col min="5892" max="5892" width="9" style="91" customWidth="1"/>
    <col min="5893" max="5893" width="8.88671875" style="91"/>
    <col min="5894" max="5894" width="9.21875" style="91" customWidth="1"/>
    <col min="5895" max="5895" width="11.109375" style="91" customWidth="1"/>
    <col min="5896" max="5896" width="9" style="91" customWidth="1"/>
    <col min="5897" max="6145" width="8.88671875" style="91"/>
    <col min="6146" max="6146" width="8.5546875" style="91" customWidth="1"/>
    <col min="6147" max="6147" width="8.88671875" style="91"/>
    <col min="6148" max="6148" width="9" style="91" customWidth="1"/>
    <col min="6149" max="6149" width="8.88671875" style="91"/>
    <col min="6150" max="6150" width="9.21875" style="91" customWidth="1"/>
    <col min="6151" max="6151" width="11.109375" style="91" customWidth="1"/>
    <col min="6152" max="6152" width="9" style="91" customWidth="1"/>
    <col min="6153" max="6401" width="8.88671875" style="91"/>
    <col min="6402" max="6402" width="8.5546875" style="91" customWidth="1"/>
    <col min="6403" max="6403" width="8.88671875" style="91"/>
    <col min="6404" max="6404" width="9" style="91" customWidth="1"/>
    <col min="6405" max="6405" width="8.88671875" style="91"/>
    <col min="6406" max="6406" width="9.21875" style="91" customWidth="1"/>
    <col min="6407" max="6407" width="11.109375" style="91" customWidth="1"/>
    <col min="6408" max="6408" width="9" style="91" customWidth="1"/>
    <col min="6409" max="6657" width="8.88671875" style="91"/>
    <col min="6658" max="6658" width="8.5546875" style="91" customWidth="1"/>
    <col min="6659" max="6659" width="8.88671875" style="91"/>
    <col min="6660" max="6660" width="9" style="91" customWidth="1"/>
    <col min="6661" max="6661" width="8.88671875" style="91"/>
    <col min="6662" max="6662" width="9.21875" style="91" customWidth="1"/>
    <col min="6663" max="6663" width="11.109375" style="91" customWidth="1"/>
    <col min="6664" max="6664" width="9" style="91" customWidth="1"/>
    <col min="6665" max="6913" width="8.88671875" style="91"/>
    <col min="6914" max="6914" width="8.5546875" style="91" customWidth="1"/>
    <col min="6915" max="6915" width="8.88671875" style="91"/>
    <col min="6916" max="6916" width="9" style="91" customWidth="1"/>
    <col min="6917" max="6917" width="8.88671875" style="91"/>
    <col min="6918" max="6918" width="9.21875" style="91" customWidth="1"/>
    <col min="6919" max="6919" width="11.109375" style="91" customWidth="1"/>
    <col min="6920" max="6920" width="9" style="91" customWidth="1"/>
    <col min="6921" max="7169" width="8.88671875" style="91"/>
    <col min="7170" max="7170" width="8.5546875" style="91" customWidth="1"/>
    <col min="7171" max="7171" width="8.88671875" style="91"/>
    <col min="7172" max="7172" width="9" style="91" customWidth="1"/>
    <col min="7173" max="7173" width="8.88671875" style="91"/>
    <col min="7174" max="7174" width="9.21875" style="91" customWidth="1"/>
    <col min="7175" max="7175" width="11.109375" style="91" customWidth="1"/>
    <col min="7176" max="7176" width="9" style="91" customWidth="1"/>
    <col min="7177" max="7425" width="8.88671875" style="91"/>
    <col min="7426" max="7426" width="8.5546875" style="91" customWidth="1"/>
    <col min="7427" max="7427" width="8.88671875" style="91"/>
    <col min="7428" max="7428" width="9" style="91" customWidth="1"/>
    <col min="7429" max="7429" width="8.88671875" style="91"/>
    <col min="7430" max="7430" width="9.21875" style="91" customWidth="1"/>
    <col min="7431" max="7431" width="11.109375" style="91" customWidth="1"/>
    <col min="7432" max="7432" width="9" style="91" customWidth="1"/>
    <col min="7433" max="7681" width="8.88671875" style="91"/>
    <col min="7682" max="7682" width="8.5546875" style="91" customWidth="1"/>
    <col min="7683" max="7683" width="8.88671875" style="91"/>
    <col min="7684" max="7684" width="9" style="91" customWidth="1"/>
    <col min="7685" max="7685" width="8.88671875" style="91"/>
    <col min="7686" max="7686" width="9.21875" style="91" customWidth="1"/>
    <col min="7687" max="7687" width="11.109375" style="91" customWidth="1"/>
    <col min="7688" max="7688" width="9" style="91" customWidth="1"/>
    <col min="7689" max="7937" width="8.88671875" style="91"/>
    <col min="7938" max="7938" width="8.5546875" style="91" customWidth="1"/>
    <col min="7939" max="7939" width="8.88671875" style="91"/>
    <col min="7940" max="7940" width="9" style="91" customWidth="1"/>
    <col min="7941" max="7941" width="8.88671875" style="91"/>
    <col min="7942" max="7942" width="9.21875" style="91" customWidth="1"/>
    <col min="7943" max="7943" width="11.109375" style="91" customWidth="1"/>
    <col min="7944" max="7944" width="9" style="91" customWidth="1"/>
    <col min="7945" max="8193" width="8.88671875" style="91"/>
    <col min="8194" max="8194" width="8.5546875" style="91" customWidth="1"/>
    <col min="8195" max="8195" width="8.88671875" style="91"/>
    <col min="8196" max="8196" width="9" style="91" customWidth="1"/>
    <col min="8197" max="8197" width="8.88671875" style="91"/>
    <col min="8198" max="8198" width="9.21875" style="91" customWidth="1"/>
    <col min="8199" max="8199" width="11.109375" style="91" customWidth="1"/>
    <col min="8200" max="8200" width="9" style="91" customWidth="1"/>
    <col min="8201" max="8449" width="8.88671875" style="91"/>
    <col min="8450" max="8450" width="8.5546875" style="91" customWidth="1"/>
    <col min="8451" max="8451" width="8.88671875" style="91"/>
    <col min="8452" max="8452" width="9" style="91" customWidth="1"/>
    <col min="8453" max="8453" width="8.88671875" style="91"/>
    <col min="8454" max="8454" width="9.21875" style="91" customWidth="1"/>
    <col min="8455" max="8455" width="11.109375" style="91" customWidth="1"/>
    <col min="8456" max="8456" width="9" style="91" customWidth="1"/>
    <col min="8457" max="8705" width="8.88671875" style="91"/>
    <col min="8706" max="8706" width="8.5546875" style="91" customWidth="1"/>
    <col min="8707" max="8707" width="8.88671875" style="91"/>
    <col min="8708" max="8708" width="9" style="91" customWidth="1"/>
    <col min="8709" max="8709" width="8.88671875" style="91"/>
    <col min="8710" max="8710" width="9.21875" style="91" customWidth="1"/>
    <col min="8711" max="8711" width="11.109375" style="91" customWidth="1"/>
    <col min="8712" max="8712" width="9" style="91" customWidth="1"/>
    <col min="8713" max="8961" width="8.88671875" style="91"/>
    <col min="8962" max="8962" width="8.5546875" style="91" customWidth="1"/>
    <col min="8963" max="8963" width="8.88671875" style="91"/>
    <col min="8964" max="8964" width="9" style="91" customWidth="1"/>
    <col min="8965" max="8965" width="8.88671875" style="91"/>
    <col min="8966" max="8966" width="9.21875" style="91" customWidth="1"/>
    <col min="8967" max="8967" width="11.109375" style="91" customWidth="1"/>
    <col min="8968" max="8968" width="9" style="91" customWidth="1"/>
    <col min="8969" max="9217" width="8.88671875" style="91"/>
    <col min="9218" max="9218" width="8.5546875" style="91" customWidth="1"/>
    <col min="9219" max="9219" width="8.88671875" style="91"/>
    <col min="9220" max="9220" width="9" style="91" customWidth="1"/>
    <col min="9221" max="9221" width="8.88671875" style="91"/>
    <col min="9222" max="9222" width="9.21875" style="91" customWidth="1"/>
    <col min="9223" max="9223" width="11.109375" style="91" customWidth="1"/>
    <col min="9224" max="9224" width="9" style="91" customWidth="1"/>
    <col min="9225" max="9473" width="8.88671875" style="91"/>
    <col min="9474" max="9474" width="8.5546875" style="91" customWidth="1"/>
    <col min="9475" max="9475" width="8.88671875" style="91"/>
    <col min="9476" max="9476" width="9" style="91" customWidth="1"/>
    <col min="9477" max="9477" width="8.88671875" style="91"/>
    <col min="9478" max="9478" width="9.21875" style="91" customWidth="1"/>
    <col min="9479" max="9479" width="11.109375" style="91" customWidth="1"/>
    <col min="9480" max="9480" width="9" style="91" customWidth="1"/>
    <col min="9481" max="9729" width="8.88671875" style="91"/>
    <col min="9730" max="9730" width="8.5546875" style="91" customWidth="1"/>
    <col min="9731" max="9731" width="8.88671875" style="91"/>
    <col min="9732" max="9732" width="9" style="91" customWidth="1"/>
    <col min="9733" max="9733" width="8.88671875" style="91"/>
    <col min="9734" max="9734" width="9.21875" style="91" customWidth="1"/>
    <col min="9735" max="9735" width="11.109375" style="91" customWidth="1"/>
    <col min="9736" max="9736" width="9" style="91" customWidth="1"/>
    <col min="9737" max="9985" width="8.88671875" style="91"/>
    <col min="9986" max="9986" width="8.5546875" style="91" customWidth="1"/>
    <col min="9987" max="9987" width="8.88671875" style="91"/>
    <col min="9988" max="9988" width="9" style="91" customWidth="1"/>
    <col min="9989" max="9989" width="8.88671875" style="91"/>
    <col min="9990" max="9990" width="9.21875" style="91" customWidth="1"/>
    <col min="9991" max="9991" width="11.109375" style="91" customWidth="1"/>
    <col min="9992" max="9992" width="9" style="91" customWidth="1"/>
    <col min="9993" max="10241" width="8.88671875" style="91"/>
    <col min="10242" max="10242" width="8.5546875" style="91" customWidth="1"/>
    <col min="10243" max="10243" width="8.88671875" style="91"/>
    <col min="10244" max="10244" width="9" style="91" customWidth="1"/>
    <col min="10245" max="10245" width="8.88671875" style="91"/>
    <col min="10246" max="10246" width="9.21875" style="91" customWidth="1"/>
    <col min="10247" max="10247" width="11.109375" style="91" customWidth="1"/>
    <col min="10248" max="10248" width="9" style="91" customWidth="1"/>
    <col min="10249" max="10497" width="8.88671875" style="91"/>
    <col min="10498" max="10498" width="8.5546875" style="91" customWidth="1"/>
    <col min="10499" max="10499" width="8.88671875" style="91"/>
    <col min="10500" max="10500" width="9" style="91" customWidth="1"/>
    <col min="10501" max="10501" width="8.88671875" style="91"/>
    <col min="10502" max="10502" width="9.21875" style="91" customWidth="1"/>
    <col min="10503" max="10503" width="11.109375" style="91" customWidth="1"/>
    <col min="10504" max="10504" width="9" style="91" customWidth="1"/>
    <col min="10505" max="10753" width="8.88671875" style="91"/>
    <col min="10754" max="10754" width="8.5546875" style="91" customWidth="1"/>
    <col min="10755" max="10755" width="8.88671875" style="91"/>
    <col min="10756" max="10756" width="9" style="91" customWidth="1"/>
    <col min="10757" max="10757" width="8.88671875" style="91"/>
    <col min="10758" max="10758" width="9.21875" style="91" customWidth="1"/>
    <col min="10759" max="10759" width="11.109375" style="91" customWidth="1"/>
    <col min="10760" max="10760" width="9" style="91" customWidth="1"/>
    <col min="10761" max="11009" width="8.88671875" style="91"/>
    <col min="11010" max="11010" width="8.5546875" style="91" customWidth="1"/>
    <col min="11011" max="11011" width="8.88671875" style="91"/>
    <col min="11012" max="11012" width="9" style="91" customWidth="1"/>
    <col min="11013" max="11013" width="8.88671875" style="91"/>
    <col min="11014" max="11014" width="9.21875" style="91" customWidth="1"/>
    <col min="11015" max="11015" width="11.109375" style="91" customWidth="1"/>
    <col min="11016" max="11016" width="9" style="91" customWidth="1"/>
    <col min="11017" max="11265" width="8.88671875" style="91"/>
    <col min="11266" max="11266" width="8.5546875" style="91" customWidth="1"/>
    <col min="11267" max="11267" width="8.88671875" style="91"/>
    <col min="11268" max="11268" width="9" style="91" customWidth="1"/>
    <col min="11269" max="11269" width="8.88671875" style="91"/>
    <col min="11270" max="11270" width="9.21875" style="91" customWidth="1"/>
    <col min="11271" max="11271" width="11.109375" style="91" customWidth="1"/>
    <col min="11272" max="11272" width="9" style="91" customWidth="1"/>
    <col min="11273" max="11521" width="8.88671875" style="91"/>
    <col min="11522" max="11522" width="8.5546875" style="91" customWidth="1"/>
    <col min="11523" max="11523" width="8.88671875" style="91"/>
    <col min="11524" max="11524" width="9" style="91" customWidth="1"/>
    <col min="11525" max="11525" width="8.88671875" style="91"/>
    <col min="11526" max="11526" width="9.21875" style="91" customWidth="1"/>
    <col min="11527" max="11527" width="11.109375" style="91" customWidth="1"/>
    <col min="11528" max="11528" width="9" style="91" customWidth="1"/>
    <col min="11529" max="11777" width="8.88671875" style="91"/>
    <col min="11778" max="11778" width="8.5546875" style="91" customWidth="1"/>
    <col min="11779" max="11779" width="8.88671875" style="91"/>
    <col min="11780" max="11780" width="9" style="91" customWidth="1"/>
    <col min="11781" max="11781" width="8.88671875" style="91"/>
    <col min="11782" max="11782" width="9.21875" style="91" customWidth="1"/>
    <col min="11783" max="11783" width="11.109375" style="91" customWidth="1"/>
    <col min="11784" max="11784" width="9" style="91" customWidth="1"/>
    <col min="11785" max="12033" width="8.88671875" style="91"/>
    <col min="12034" max="12034" width="8.5546875" style="91" customWidth="1"/>
    <col min="12035" max="12035" width="8.88671875" style="91"/>
    <col min="12036" max="12036" width="9" style="91" customWidth="1"/>
    <col min="12037" max="12037" width="8.88671875" style="91"/>
    <col min="12038" max="12038" width="9.21875" style="91" customWidth="1"/>
    <col min="12039" max="12039" width="11.109375" style="91" customWidth="1"/>
    <col min="12040" max="12040" width="9" style="91" customWidth="1"/>
    <col min="12041" max="12289" width="8.88671875" style="91"/>
    <col min="12290" max="12290" width="8.5546875" style="91" customWidth="1"/>
    <col min="12291" max="12291" width="8.88671875" style="91"/>
    <col min="12292" max="12292" width="9" style="91" customWidth="1"/>
    <col min="12293" max="12293" width="8.88671875" style="91"/>
    <col min="12294" max="12294" width="9.21875" style="91" customWidth="1"/>
    <col min="12295" max="12295" width="11.109375" style="91" customWidth="1"/>
    <col min="12296" max="12296" width="9" style="91" customWidth="1"/>
    <col min="12297" max="12545" width="8.88671875" style="91"/>
    <col min="12546" max="12546" width="8.5546875" style="91" customWidth="1"/>
    <col min="12547" max="12547" width="8.88671875" style="91"/>
    <col min="12548" max="12548" width="9" style="91" customWidth="1"/>
    <col min="12549" max="12549" width="8.88671875" style="91"/>
    <col min="12550" max="12550" width="9.21875" style="91" customWidth="1"/>
    <col min="12551" max="12551" width="11.109375" style="91" customWidth="1"/>
    <col min="12552" max="12552" width="9" style="91" customWidth="1"/>
    <col min="12553" max="12801" width="8.88671875" style="91"/>
    <col min="12802" max="12802" width="8.5546875" style="91" customWidth="1"/>
    <col min="12803" max="12803" width="8.88671875" style="91"/>
    <col min="12804" max="12804" width="9" style="91" customWidth="1"/>
    <col min="12805" max="12805" width="8.88671875" style="91"/>
    <col min="12806" max="12806" width="9.21875" style="91" customWidth="1"/>
    <col min="12807" max="12807" width="11.109375" style="91" customWidth="1"/>
    <col min="12808" max="12808" width="9" style="91" customWidth="1"/>
    <col min="12809" max="13057" width="8.88671875" style="91"/>
    <col min="13058" max="13058" width="8.5546875" style="91" customWidth="1"/>
    <col min="13059" max="13059" width="8.88671875" style="91"/>
    <col min="13060" max="13060" width="9" style="91" customWidth="1"/>
    <col min="13061" max="13061" width="8.88671875" style="91"/>
    <col min="13062" max="13062" width="9.21875" style="91" customWidth="1"/>
    <col min="13063" max="13063" width="11.109375" style="91" customWidth="1"/>
    <col min="13064" max="13064" width="9" style="91" customWidth="1"/>
    <col min="13065" max="13313" width="8.88671875" style="91"/>
    <col min="13314" max="13314" width="8.5546875" style="91" customWidth="1"/>
    <col min="13315" max="13315" width="8.88671875" style="91"/>
    <col min="13316" max="13316" width="9" style="91" customWidth="1"/>
    <col min="13317" max="13317" width="8.88671875" style="91"/>
    <col min="13318" max="13318" width="9.21875" style="91" customWidth="1"/>
    <col min="13319" max="13319" width="11.109375" style="91" customWidth="1"/>
    <col min="13320" max="13320" width="9" style="91" customWidth="1"/>
    <col min="13321" max="13569" width="8.88671875" style="91"/>
    <col min="13570" max="13570" width="8.5546875" style="91" customWidth="1"/>
    <col min="13571" max="13571" width="8.88671875" style="91"/>
    <col min="13572" max="13572" width="9" style="91" customWidth="1"/>
    <col min="13573" max="13573" width="8.88671875" style="91"/>
    <col min="13574" max="13574" width="9.21875" style="91" customWidth="1"/>
    <col min="13575" max="13575" width="11.109375" style="91" customWidth="1"/>
    <col min="13576" max="13576" width="9" style="91" customWidth="1"/>
    <col min="13577" max="13825" width="8.88671875" style="91"/>
    <col min="13826" max="13826" width="8.5546875" style="91" customWidth="1"/>
    <col min="13827" max="13827" width="8.88671875" style="91"/>
    <col min="13828" max="13828" width="9" style="91" customWidth="1"/>
    <col min="13829" max="13829" width="8.88671875" style="91"/>
    <col min="13830" max="13830" width="9.21875" style="91" customWidth="1"/>
    <col min="13831" max="13831" width="11.109375" style="91" customWidth="1"/>
    <col min="13832" max="13832" width="9" style="91" customWidth="1"/>
    <col min="13833" max="14081" width="8.88671875" style="91"/>
    <col min="14082" max="14082" width="8.5546875" style="91" customWidth="1"/>
    <col min="14083" max="14083" width="8.88671875" style="91"/>
    <col min="14084" max="14084" width="9" style="91" customWidth="1"/>
    <col min="14085" max="14085" width="8.88671875" style="91"/>
    <col min="14086" max="14086" width="9.21875" style="91" customWidth="1"/>
    <col min="14087" max="14087" width="11.109375" style="91" customWidth="1"/>
    <col min="14088" max="14088" width="9" style="91" customWidth="1"/>
    <col min="14089" max="14337" width="8.88671875" style="91"/>
    <col min="14338" max="14338" width="8.5546875" style="91" customWidth="1"/>
    <col min="14339" max="14339" width="8.88671875" style="91"/>
    <col min="14340" max="14340" width="9" style="91" customWidth="1"/>
    <col min="14341" max="14341" width="8.88671875" style="91"/>
    <col min="14342" max="14342" width="9.21875" style="91" customWidth="1"/>
    <col min="14343" max="14343" width="11.109375" style="91" customWidth="1"/>
    <col min="14344" max="14344" width="9" style="91" customWidth="1"/>
    <col min="14345" max="14593" width="8.88671875" style="91"/>
    <col min="14594" max="14594" width="8.5546875" style="91" customWidth="1"/>
    <col min="14595" max="14595" width="8.88671875" style="91"/>
    <col min="14596" max="14596" width="9" style="91" customWidth="1"/>
    <col min="14597" max="14597" width="8.88671875" style="91"/>
    <col min="14598" max="14598" width="9.21875" style="91" customWidth="1"/>
    <col min="14599" max="14599" width="11.109375" style="91" customWidth="1"/>
    <col min="14600" max="14600" width="9" style="91" customWidth="1"/>
    <col min="14601" max="14849" width="8.88671875" style="91"/>
    <col min="14850" max="14850" width="8.5546875" style="91" customWidth="1"/>
    <col min="14851" max="14851" width="8.88671875" style="91"/>
    <col min="14852" max="14852" width="9" style="91" customWidth="1"/>
    <col min="14853" max="14853" width="8.88671875" style="91"/>
    <col min="14854" max="14854" width="9.21875" style="91" customWidth="1"/>
    <col min="14855" max="14855" width="11.109375" style="91" customWidth="1"/>
    <col min="14856" max="14856" width="9" style="91" customWidth="1"/>
    <col min="14857" max="15105" width="8.88671875" style="91"/>
    <col min="15106" max="15106" width="8.5546875" style="91" customWidth="1"/>
    <col min="15107" max="15107" width="8.88671875" style="91"/>
    <col min="15108" max="15108" width="9" style="91" customWidth="1"/>
    <col min="15109" max="15109" width="8.88671875" style="91"/>
    <col min="15110" max="15110" width="9.21875" style="91" customWidth="1"/>
    <col min="15111" max="15111" width="11.109375" style="91" customWidth="1"/>
    <col min="15112" max="15112" width="9" style="91" customWidth="1"/>
    <col min="15113" max="15361" width="8.88671875" style="91"/>
    <col min="15362" max="15362" width="8.5546875" style="91" customWidth="1"/>
    <col min="15363" max="15363" width="8.88671875" style="91"/>
    <col min="15364" max="15364" width="9" style="91" customWidth="1"/>
    <col min="15365" max="15365" width="8.88671875" style="91"/>
    <col min="15366" max="15366" width="9.21875" style="91" customWidth="1"/>
    <col min="15367" max="15367" width="11.109375" style="91" customWidth="1"/>
    <col min="15368" max="15368" width="9" style="91" customWidth="1"/>
    <col min="15369" max="15617" width="8.88671875" style="91"/>
    <col min="15618" max="15618" width="8.5546875" style="91" customWidth="1"/>
    <col min="15619" max="15619" width="8.88671875" style="91"/>
    <col min="15620" max="15620" width="9" style="91" customWidth="1"/>
    <col min="15621" max="15621" width="8.88671875" style="91"/>
    <col min="15622" max="15622" width="9.21875" style="91" customWidth="1"/>
    <col min="15623" max="15623" width="11.109375" style="91" customWidth="1"/>
    <col min="15624" max="15624" width="9" style="91" customWidth="1"/>
    <col min="15625" max="15873" width="8.88671875" style="91"/>
    <col min="15874" max="15874" width="8.5546875" style="91" customWidth="1"/>
    <col min="15875" max="15875" width="8.88671875" style="91"/>
    <col min="15876" max="15876" width="9" style="91" customWidth="1"/>
    <col min="15877" max="15877" width="8.88671875" style="91"/>
    <col min="15878" max="15878" width="9.21875" style="91" customWidth="1"/>
    <col min="15879" max="15879" width="11.109375" style="91" customWidth="1"/>
    <col min="15880" max="15880" width="9" style="91" customWidth="1"/>
    <col min="15881" max="16129" width="8.88671875" style="91"/>
    <col min="16130" max="16130" width="8.5546875" style="91" customWidth="1"/>
    <col min="16131" max="16131" width="8.88671875" style="91"/>
    <col min="16132" max="16132" width="9" style="91" customWidth="1"/>
    <col min="16133" max="16133" width="8.88671875" style="91"/>
    <col min="16134" max="16134" width="9.21875" style="91" customWidth="1"/>
    <col min="16135" max="16135" width="11.109375" style="91" customWidth="1"/>
    <col min="16136" max="16136" width="9" style="91" customWidth="1"/>
    <col min="16137" max="16384" width="8.88671875" style="91"/>
  </cols>
  <sheetData>
    <row r="1" spans="1:9" ht="25.5" customHeight="1">
      <c r="A1" s="89" t="s">
        <v>5</v>
      </c>
      <c r="B1" s="89" t="s">
        <v>66</v>
      </c>
      <c r="C1" s="89" t="s">
        <v>169</v>
      </c>
      <c r="D1" s="89" t="s">
        <v>170</v>
      </c>
      <c r="E1" s="89" t="s">
        <v>73</v>
      </c>
      <c r="F1" s="89" t="s">
        <v>63</v>
      </c>
      <c r="G1" s="89" t="s">
        <v>171</v>
      </c>
      <c r="H1" s="89" t="s">
        <v>68</v>
      </c>
      <c r="I1" s="90"/>
    </row>
    <row r="2" spans="1:9" ht="18" customHeight="1">
      <c r="A2" s="89"/>
      <c r="B2" s="89"/>
      <c r="C2" s="89" t="s">
        <v>172</v>
      </c>
      <c r="D2" s="89" t="s">
        <v>172</v>
      </c>
      <c r="E2" s="89"/>
      <c r="F2" s="89" t="s">
        <v>3</v>
      </c>
      <c r="G2" s="89" t="s">
        <v>173</v>
      </c>
      <c r="H2" s="89" t="s">
        <v>174</v>
      </c>
      <c r="I2" s="90"/>
    </row>
    <row r="3" spans="1:9" ht="18" customHeight="1">
      <c r="A3" s="159" t="s">
        <v>77</v>
      </c>
      <c r="B3" s="92" t="s">
        <v>175</v>
      </c>
      <c r="C3" s="93">
        <v>6</v>
      </c>
      <c r="D3" s="93">
        <v>1200</v>
      </c>
      <c r="E3" s="93">
        <v>1</v>
      </c>
      <c r="F3" s="93">
        <f>D3*E3/1000</f>
        <v>1.2</v>
      </c>
      <c r="G3" s="93">
        <v>0.22</v>
      </c>
      <c r="H3" s="93">
        <f>G3*F3</f>
        <v>0.26400000000000001</v>
      </c>
    </row>
    <row r="4" spans="1:9" ht="18" customHeight="1">
      <c r="A4" s="159"/>
      <c r="B4" s="92" t="s">
        <v>176</v>
      </c>
      <c r="C4" s="93">
        <v>6</v>
      </c>
      <c r="D4" s="93">
        <v>250</v>
      </c>
      <c r="E4" s="93">
        <v>4</v>
      </c>
      <c r="F4" s="93">
        <f>D4*E4/1000</f>
        <v>1</v>
      </c>
      <c r="G4" s="93">
        <v>0.22</v>
      </c>
      <c r="H4" s="93">
        <f>G4*F4</f>
        <v>0.22</v>
      </c>
    </row>
    <row r="5" spans="1:9" ht="18" customHeight="1">
      <c r="A5" s="159" t="s">
        <v>79</v>
      </c>
      <c r="B5" s="159" t="s">
        <v>177</v>
      </c>
      <c r="C5" s="159"/>
      <c r="D5" s="160">
        <f>H3+H4</f>
        <v>0.48399999999999999</v>
      </c>
      <c r="E5" s="160"/>
      <c r="F5" s="160"/>
      <c r="G5" s="160"/>
      <c r="H5" s="160"/>
    </row>
    <row r="6" spans="1:9" ht="18" customHeight="1">
      <c r="A6" s="160"/>
      <c r="B6" s="159" t="s">
        <v>178</v>
      </c>
      <c r="C6" s="159"/>
      <c r="D6" s="160">
        <f>0.1*0.1</f>
        <v>0.01</v>
      </c>
      <c r="E6" s="160"/>
      <c r="F6" s="160"/>
      <c r="G6" s="160"/>
      <c r="H6" s="160"/>
    </row>
    <row r="7" spans="1:9" ht="15" customHeight="1"/>
  </sheetData>
  <mergeCells count="6">
    <mergeCell ref="A3:A4"/>
    <mergeCell ref="A5:A6"/>
    <mergeCell ref="B5:C5"/>
    <mergeCell ref="D5:H5"/>
    <mergeCell ref="B6:C6"/>
    <mergeCell ref="D6:H6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L28"/>
  <sheetViews>
    <sheetView tabSelected="1" topLeftCell="A9" workbookViewId="0">
      <selection activeCell="A19" sqref="A19:C28"/>
    </sheetView>
  </sheetViews>
  <sheetFormatPr defaultRowHeight="18"/>
  <cols>
    <col min="1" max="1" width="13.44140625" style="99" customWidth="1"/>
    <col min="2" max="2" width="13.6640625" style="99" customWidth="1"/>
    <col min="3" max="3" width="14.88671875" style="99" customWidth="1"/>
    <col min="4" max="6" width="8.88671875" style="99"/>
    <col min="7" max="7" width="16" style="99" customWidth="1"/>
    <col min="8" max="16384" width="8.88671875" style="99"/>
  </cols>
  <sheetData>
    <row r="5" spans="1:12">
      <c r="B5" s="99" t="s">
        <v>127</v>
      </c>
    </row>
    <row r="6" spans="1:12">
      <c r="A6" s="161" t="s">
        <v>193</v>
      </c>
      <c r="B6" s="161" t="s">
        <v>194</v>
      </c>
      <c r="C6" s="161"/>
    </row>
    <row r="7" spans="1:12">
      <c r="A7" s="161"/>
      <c r="B7" s="100" t="s">
        <v>125</v>
      </c>
      <c r="C7" s="100" t="s">
        <v>126</v>
      </c>
    </row>
    <row r="8" spans="1:12">
      <c r="A8" s="100" t="s">
        <v>195</v>
      </c>
      <c r="B8" s="162">
        <f>J8</f>
        <v>2360749.27</v>
      </c>
      <c r="C8" s="162">
        <f>I8</f>
        <v>398344.87</v>
      </c>
      <c r="I8" s="99">
        <v>398344.86964814202</v>
      </c>
      <c r="J8" s="99">
        <v>2360749.2695666398</v>
      </c>
    </row>
    <row r="9" spans="1:12">
      <c r="A9" s="100" t="s">
        <v>196</v>
      </c>
      <c r="B9" s="162">
        <f t="shared" ref="B9:B15" si="0">J9</f>
        <v>2360739.3489999999</v>
      </c>
      <c r="C9" s="162">
        <f t="shared" ref="C9:C15" si="1">I9</f>
        <v>398345.21600000001</v>
      </c>
      <c r="I9" s="99">
        <v>398345.21644977998</v>
      </c>
      <c r="J9" s="99">
        <v>2360739.34884847</v>
      </c>
    </row>
    <row r="10" spans="1:12">
      <c r="A10" s="100" t="s">
        <v>197</v>
      </c>
      <c r="B10" s="162">
        <f t="shared" si="0"/>
        <v>2360737.0249999999</v>
      </c>
      <c r="C10" s="162">
        <f t="shared" si="1"/>
        <v>398345.66499999998</v>
      </c>
      <c r="I10" s="99">
        <v>398345.66452771297</v>
      </c>
      <c r="J10" s="99">
        <v>2360737.0251614698</v>
      </c>
    </row>
    <row r="11" spans="1:12">
      <c r="A11" s="100" t="s">
        <v>198</v>
      </c>
      <c r="B11" s="162">
        <f t="shared" si="0"/>
        <v>2360726.0830000001</v>
      </c>
      <c r="C11" s="162">
        <f t="shared" si="1"/>
        <v>398349.04</v>
      </c>
      <c r="I11" s="99">
        <v>398349.04</v>
      </c>
      <c r="J11" s="99">
        <v>2360726.0830000001</v>
      </c>
    </row>
    <row r="12" spans="1:12">
      <c r="A12" s="100" t="s">
        <v>199</v>
      </c>
      <c r="B12" s="162">
        <f t="shared" si="0"/>
        <v>2360699.3859999999</v>
      </c>
      <c r="C12" s="162">
        <f t="shared" si="1"/>
        <v>398362.18800000002</v>
      </c>
      <c r="I12" s="99">
        <v>398362.18814217299</v>
      </c>
      <c r="J12" s="99">
        <v>2360699.3864182001</v>
      </c>
    </row>
    <row r="13" spans="1:12">
      <c r="A13" s="100" t="s">
        <v>200</v>
      </c>
      <c r="B13" s="162">
        <f t="shared" si="0"/>
        <v>2360696.77</v>
      </c>
      <c r="C13" s="162">
        <f t="shared" si="1"/>
        <v>398371.28600000002</v>
      </c>
      <c r="I13" s="99">
        <v>398371.28588603903</v>
      </c>
      <c r="J13" s="99">
        <v>2360696.7704686299</v>
      </c>
    </row>
    <row r="14" spans="1:12">
      <c r="A14" s="100" t="s">
        <v>201</v>
      </c>
      <c r="B14" s="162">
        <f t="shared" si="0"/>
        <v>2360699.73</v>
      </c>
      <c r="C14" s="162">
        <f t="shared" si="1"/>
        <v>398376.103</v>
      </c>
      <c r="I14" s="99">
        <v>398376.10311502498</v>
      </c>
      <c r="J14" s="99">
        <v>2360699.7300856002</v>
      </c>
    </row>
    <row r="15" spans="1:12">
      <c r="A15" s="100" t="s">
        <v>202</v>
      </c>
      <c r="B15" s="162">
        <f t="shared" si="0"/>
        <v>2360708.2349999999</v>
      </c>
      <c r="C15" s="162">
        <f t="shared" si="1"/>
        <v>398381.25799999997</v>
      </c>
      <c r="I15" s="99">
        <v>398381.25849300402</v>
      </c>
      <c r="J15" s="99">
        <v>2360708.2347866902</v>
      </c>
    </row>
    <row r="16" spans="1:12">
      <c r="I16" s="99">
        <v>398356.91277975601</v>
      </c>
      <c r="J16" s="99">
        <v>2360662.41090996</v>
      </c>
      <c r="L16" s="99" t="s">
        <v>212</v>
      </c>
    </row>
    <row r="17" spans="1:10">
      <c r="I17" s="99">
        <v>398358.148795794</v>
      </c>
      <c r="J17" s="99">
        <v>2360671.9918377302</v>
      </c>
    </row>
    <row r="18" spans="1:10">
      <c r="B18" s="99" t="s">
        <v>128</v>
      </c>
      <c r="I18" s="99">
        <v>398358.057461833</v>
      </c>
      <c r="J18" s="99">
        <v>2360673.1889182301</v>
      </c>
    </row>
    <row r="19" spans="1:10" ht="18" customHeight="1">
      <c r="A19" s="161" t="s">
        <v>193</v>
      </c>
      <c r="B19" s="161" t="s">
        <v>211</v>
      </c>
      <c r="C19" s="161"/>
      <c r="I19" s="99">
        <v>398353.81</v>
      </c>
      <c r="J19" s="99">
        <v>2360684.5049999999</v>
      </c>
    </row>
    <row r="20" spans="1:10">
      <c r="A20" s="161"/>
      <c r="B20" s="100" t="s">
        <v>125</v>
      </c>
      <c r="C20" s="100" t="s">
        <v>126</v>
      </c>
      <c r="I20" s="99">
        <v>398340.96123309497</v>
      </c>
      <c r="J20" s="99">
        <v>2360712.1098311702</v>
      </c>
    </row>
    <row r="21" spans="1:10">
      <c r="A21" s="100" t="s">
        <v>203</v>
      </c>
      <c r="B21" s="162">
        <f>J16</f>
        <v>2360662.4109999998</v>
      </c>
      <c r="C21" s="162">
        <f>I16</f>
        <v>398356.913</v>
      </c>
      <c r="I21" s="99">
        <v>398330.99268066901</v>
      </c>
      <c r="J21" s="99">
        <v>2360718.1894789799</v>
      </c>
    </row>
    <row r="22" spans="1:10">
      <c r="A22" s="100" t="s">
        <v>204</v>
      </c>
      <c r="B22" s="162">
        <f t="shared" ref="B22:B28" si="2">J17</f>
        <v>2360671.9920000001</v>
      </c>
      <c r="C22" s="162">
        <f t="shared" ref="C22:C28" si="3">I17</f>
        <v>398358.14899999998</v>
      </c>
      <c r="I22" s="99">
        <v>398323.19091921003</v>
      </c>
      <c r="J22" s="99">
        <v>2360712.9205315202</v>
      </c>
    </row>
    <row r="23" spans="1:10">
      <c r="A23" s="100" t="s">
        <v>205</v>
      </c>
      <c r="B23" s="162">
        <f t="shared" si="2"/>
        <v>2360673.1889999998</v>
      </c>
      <c r="C23" s="162">
        <f t="shared" si="3"/>
        <v>398358.05699999997</v>
      </c>
      <c r="I23" s="99">
        <v>398317.37594608701</v>
      </c>
      <c r="J23" s="99">
        <v>2360704.6193269198</v>
      </c>
    </row>
    <row r="24" spans="1:10">
      <c r="A24" s="100" t="s">
        <v>206</v>
      </c>
      <c r="B24" s="162">
        <f>J19</f>
        <v>2360684.5049999999</v>
      </c>
      <c r="C24" s="162">
        <f t="shared" si="3"/>
        <v>398353.81</v>
      </c>
    </row>
    <row r="25" spans="1:10">
      <c r="A25" s="100" t="s">
        <v>207</v>
      </c>
      <c r="B25" s="162">
        <f t="shared" si="2"/>
        <v>2360712.11</v>
      </c>
      <c r="C25" s="162">
        <f t="shared" si="3"/>
        <v>398340.96100000001</v>
      </c>
    </row>
    <row r="26" spans="1:10">
      <c r="A26" s="100" t="s">
        <v>208</v>
      </c>
      <c r="B26" s="162">
        <f t="shared" si="2"/>
        <v>2360718.1889999998</v>
      </c>
      <c r="C26" s="162">
        <f t="shared" si="3"/>
        <v>398330.99300000002</v>
      </c>
    </row>
    <row r="27" spans="1:10">
      <c r="A27" s="100" t="s">
        <v>209</v>
      </c>
      <c r="B27" s="162">
        <f t="shared" si="2"/>
        <v>2360712.9210000001</v>
      </c>
      <c r="C27" s="162">
        <f t="shared" si="3"/>
        <v>398323.19099999999</v>
      </c>
    </row>
    <row r="28" spans="1:10">
      <c r="A28" s="100" t="s">
        <v>210</v>
      </c>
      <c r="B28" s="162">
        <f t="shared" si="2"/>
        <v>2360704.6189999999</v>
      </c>
      <c r="C28" s="162">
        <f t="shared" si="3"/>
        <v>398317.37599999999</v>
      </c>
    </row>
  </sheetData>
  <mergeCells count="4">
    <mergeCell ref="B6:C6"/>
    <mergeCell ref="A6:A7"/>
    <mergeCell ref="A19:A20"/>
    <mergeCell ref="B19:C19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Data</vt:lpstr>
      <vt:lpstr>cong thuc tinh tu non</vt:lpstr>
      <vt:lpstr>KL duong dau cau</vt:lpstr>
      <vt:lpstr>KL tu non. long mo</vt:lpstr>
      <vt:lpstr>TONG KL </vt:lpstr>
      <vt:lpstr>cong sieu cao</vt:lpstr>
      <vt:lpstr>1 tam op</vt:lpstr>
      <vt:lpstr>Toa Do Tu Non</vt:lpstr>
      <vt:lpstr>B</vt:lpstr>
      <vt:lpstr>b_1</vt:lpstr>
      <vt:lpstr>D_</vt:lpstr>
      <vt:lpstr>H</vt:lpstr>
      <vt:lpstr>h_1</vt:lpstr>
      <vt:lpstr>h_2</vt:lpstr>
      <vt:lpstr>L_</vt:lpstr>
    </vt:vector>
  </TitlesOfParts>
  <Company>Technical Dep. - CDS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PowerCom</dc:creator>
  <cp:lastModifiedBy>Admin</cp:lastModifiedBy>
  <cp:lastPrinted>2017-10-17T03:44:31Z</cp:lastPrinted>
  <dcterms:created xsi:type="dcterms:W3CDTF">2000-07-20T03:19:24Z</dcterms:created>
  <dcterms:modified xsi:type="dcterms:W3CDTF">2019-01-19T02:35:42Z</dcterms:modified>
</cp:coreProperties>
</file>